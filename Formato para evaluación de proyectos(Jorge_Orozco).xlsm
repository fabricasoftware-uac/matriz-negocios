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jeoa6\Downloads\"/>
    </mc:Choice>
  </mc:AlternateContent>
  <xr:revisionPtr revIDLastSave="0" documentId="8_{9F81BF65-D23A-401D-A107-44FCBFCA921B}" xr6:coauthVersionLast="47" xr6:coauthVersionMax="47" xr10:uidLastSave="{00000000-0000-0000-0000-000000000000}"/>
  <bookViews>
    <workbookView xWindow="-110" yWindow="-110" windowWidth="19420" windowHeight="10300" tabRatio="873" firstSheet="5" activeTab="10" xr2:uid="{00000000-000D-0000-FFFF-FFFF00000000}"/>
  </bookViews>
  <sheets>
    <sheet name="Base" sheetId="3" r:id="rId1"/>
    <sheet name="Proyección FCL" sheetId="2" r:id="rId2"/>
    <sheet name="Proyección P&amp;G" sheetId="1" r:id="rId3"/>
    <sheet name="Proyección Balance Apertura" sheetId="15" r:id="rId4"/>
    <sheet name="Resultados" sheetId="6" r:id="rId5"/>
    <sheet name="Matriz de Riesgo" sheetId="16" r:id="rId6"/>
    <sheet name="Mercado" sheetId="8" r:id="rId7"/>
    <sheet name="Criterios" sheetId="10" r:id="rId8"/>
    <sheet name="Matriz" sheetId="11" r:id="rId9"/>
    <sheet name="Ambiental" sheetId="9" r:id="rId10"/>
    <sheet name="Gráficas" sheetId="12" r:id="rId11"/>
    <sheet name="Estudio Legal" sheetId="7" r:id="rId12"/>
    <sheet name="Estudio Tecnico" sheetId="13" r:id="rId13"/>
  </sheets>
  <externalReferences>
    <externalReference r:id="rId14"/>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FALSE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1</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TRUE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TRUE</definedName>
    <definedName name="RiskUseMultipleCPUs" hidden="1">TRUE</definedName>
    <definedName name="Tipo_de_sociedad" comment="Sociedad Anónima" localSheetId="12">'Estudio Tecnico'!$D$8</definedName>
    <definedName name="Tipo_de_sociedad" comment="Sociedad Anónima">'Estudio Legal'!#REF!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8" i="15" l="1"/>
  <c r="C42" i="15"/>
  <c r="C38" i="15"/>
  <c r="C18" i="15"/>
  <c r="D18" i="15" s="1"/>
  <c r="E18" i="15" s="1"/>
  <c r="F18" i="15" s="1"/>
  <c r="G18" i="15" s="1"/>
  <c r="H18" i="15" s="1"/>
  <c r="C17" i="15"/>
  <c r="D17" i="15" s="1"/>
  <c r="E17" i="15" s="1"/>
  <c r="F17" i="15" s="1"/>
  <c r="G17" i="15" s="1"/>
  <c r="H17" i="15" s="1"/>
  <c r="C16" i="15"/>
  <c r="D16" i="15" s="1"/>
  <c r="H21" i="3"/>
  <c r="H22" i="3"/>
  <c r="H23" i="3"/>
  <c r="H24" i="3"/>
  <c r="H25" i="3" s="1"/>
  <c r="H26" i="3"/>
  <c r="F39" i="3"/>
  <c r="F38" i="3"/>
  <c r="D19" i="3"/>
  <c r="E99" i="3" l="1"/>
  <c r="E97" i="3"/>
  <c r="E98" i="3"/>
  <c r="E16" i="15"/>
  <c r="H27" i="3"/>
  <c r="I10" i="8"/>
  <c r="I11" i="8"/>
  <c r="F16" i="15" l="1"/>
  <c r="AD18" i="9"/>
  <c r="AD24" i="9" s="1"/>
  <c r="G16" i="15" l="1"/>
  <c r="AD23" i="9"/>
  <c r="AD22" i="9"/>
  <c r="AD21" i="9"/>
  <c r="AD20" i="9"/>
  <c r="AD19" i="9"/>
  <c r="AD17" i="9"/>
  <c r="AD16" i="9"/>
  <c r="AD15" i="9"/>
  <c r="AD14" i="9"/>
  <c r="AD13" i="9"/>
  <c r="AD12" i="9"/>
  <c r="AD25" i="9" l="1"/>
  <c r="H16" i="15"/>
  <c r="H21" i="8"/>
  <c r="G21" i="8"/>
  <c r="F21" i="8"/>
  <c r="E21" i="8"/>
  <c r="D21" i="8"/>
  <c r="C21" i="8"/>
  <c r="B21" i="8"/>
  <c r="I20" i="8"/>
  <c r="I19" i="8"/>
  <c r="I18" i="8"/>
  <c r="I17" i="8"/>
  <c r="I16" i="8"/>
  <c r="I15" i="8"/>
  <c r="I14" i="8"/>
  <c r="I13" i="8"/>
  <c r="I12" i="8"/>
  <c r="E30" i="3"/>
  <c r="E29" i="3"/>
  <c r="I21" i="8" l="1"/>
  <c r="G12" i="3"/>
  <c r="G13" i="3" s="1"/>
  <c r="G14" i="3" s="1"/>
  <c r="G15" i="3" s="1"/>
  <c r="E33" i="3"/>
  <c r="E32" i="3"/>
  <c r="E31" i="3"/>
  <c r="I6" i="1" l="1"/>
  <c r="H6" i="1"/>
  <c r="G6" i="1"/>
  <c r="F6" i="1"/>
  <c r="E6" i="1"/>
  <c r="D6" i="1"/>
  <c r="G16" i="3" l="1"/>
  <c r="D9" i="1"/>
  <c r="D24" i="2" s="1"/>
  <c r="C10" i="15" s="1"/>
  <c r="D84" i="3"/>
  <c r="C11" i="15" l="1"/>
  <c r="E92" i="3" s="1"/>
  <c r="E91" i="3"/>
  <c r="D15" i="2"/>
  <c r="C21" i="3"/>
  <c r="F61" i="3"/>
  <c r="F60" i="3"/>
  <c r="F56" i="3"/>
  <c r="F55" i="3"/>
  <c r="F54" i="3"/>
  <c r="F53" i="3"/>
  <c r="F46" i="3"/>
  <c r="F47" i="3"/>
  <c r="F45" i="3"/>
  <c r="F30" i="3"/>
  <c r="F78" i="3" l="1"/>
  <c r="F48" i="3" l="1"/>
  <c r="D14" i="1" s="1"/>
  <c r="B8" i="6"/>
  <c r="B9" i="6"/>
  <c r="B7" i="6"/>
  <c r="F31" i="3"/>
  <c r="D6" i="2"/>
  <c r="C6" i="6" s="1"/>
  <c r="F79" i="3"/>
  <c r="F80" i="3"/>
  <c r="F81" i="3"/>
  <c r="F82" i="3"/>
  <c r="F83" i="3"/>
  <c r="D7" i="1"/>
  <c r="F62" i="3"/>
  <c r="D19" i="1" s="1"/>
  <c r="E19" i="1" s="1"/>
  <c r="F19" i="1" s="1"/>
  <c r="F57" i="3"/>
  <c r="F32" i="3"/>
  <c r="F33" i="3"/>
  <c r="E6" i="2"/>
  <c r="D6" i="6" s="1"/>
  <c r="F6" i="2"/>
  <c r="E6" i="6" s="1"/>
  <c r="G6" i="2"/>
  <c r="F6" i="6" s="1"/>
  <c r="H6" i="2"/>
  <c r="G6" i="6" s="1"/>
  <c r="I6" i="2"/>
  <c r="H6" i="6" s="1"/>
  <c r="I7" i="1"/>
  <c r="H7" i="1"/>
  <c r="F7" i="1"/>
  <c r="G7" i="1"/>
  <c r="E7" i="1"/>
  <c r="E9" i="1" s="1"/>
  <c r="E24" i="2" s="1"/>
  <c r="D10" i="15" s="1"/>
  <c r="D11" i="15" s="1"/>
  <c r="F40" i="3"/>
  <c r="F41" i="3"/>
  <c r="F66" i="3"/>
  <c r="F65" i="3"/>
  <c r="F34" i="3"/>
  <c r="F42" i="3" l="1"/>
  <c r="D15" i="1" s="1"/>
  <c r="E14" i="1"/>
  <c r="F14" i="1" s="1"/>
  <c r="G14" i="1" s="1"/>
  <c r="D18" i="1"/>
  <c r="E18" i="1" s="1"/>
  <c r="F67" i="3"/>
  <c r="F84" i="3"/>
  <c r="G19" i="1"/>
  <c r="E15" i="1" l="1"/>
  <c r="C12" i="15"/>
  <c r="E93" i="3" s="1"/>
  <c r="G9" i="2"/>
  <c r="F20" i="15" s="1"/>
  <c r="E9" i="2"/>
  <c r="D20" i="15" s="1"/>
  <c r="D20" i="1"/>
  <c r="D17" i="1" s="1"/>
  <c r="D16" i="1" s="1"/>
  <c r="H9" i="2"/>
  <c r="G20" i="15" s="1"/>
  <c r="D9" i="2"/>
  <c r="C20" i="15" s="1"/>
  <c r="E101" i="3" s="1"/>
  <c r="I9" i="2"/>
  <c r="H20" i="15" s="1"/>
  <c r="F18" i="1"/>
  <c r="F9" i="2"/>
  <c r="E20" i="15" s="1"/>
  <c r="E21" i="1"/>
  <c r="I21" i="1"/>
  <c r="G21" i="1"/>
  <c r="F21" i="1"/>
  <c r="D21" i="1"/>
  <c r="H21" i="1"/>
  <c r="H14" i="1"/>
  <c r="H19" i="1"/>
  <c r="F9" i="1"/>
  <c r="F24" i="2" s="1"/>
  <c r="E10" i="15" s="1"/>
  <c r="E11" i="15" s="1"/>
  <c r="F15" i="1" l="1"/>
  <c r="D12" i="15"/>
  <c r="E20" i="1"/>
  <c r="G18" i="1"/>
  <c r="I19" i="1"/>
  <c r="I14" i="1"/>
  <c r="G9" i="1"/>
  <c r="G24" i="2" s="1"/>
  <c r="F10" i="15" s="1"/>
  <c r="F11" i="15" s="1"/>
  <c r="G15" i="1" l="1"/>
  <c r="E12" i="15"/>
  <c r="F20" i="1"/>
  <c r="E17" i="1"/>
  <c r="E16" i="1" s="1"/>
  <c r="H18" i="1"/>
  <c r="I18" i="1" s="1"/>
  <c r="H9" i="1"/>
  <c r="H24" i="2" s="1"/>
  <c r="G10" i="15" s="1"/>
  <c r="G11" i="15" s="1"/>
  <c r="H15" i="1" l="1"/>
  <c r="F12" i="15"/>
  <c r="G20" i="1"/>
  <c r="F17" i="1"/>
  <c r="F16" i="1" s="1"/>
  <c r="I9" i="1"/>
  <c r="I24" i="2" s="1"/>
  <c r="H10" i="15" s="1"/>
  <c r="H11" i="15" s="1"/>
  <c r="I15" i="1" l="1"/>
  <c r="H12" i="15" s="1"/>
  <c r="G12" i="15"/>
  <c r="H20" i="1"/>
  <c r="G17" i="1"/>
  <c r="G16" i="1" s="1"/>
  <c r="I20" i="1" l="1"/>
  <c r="I17" i="1" s="1"/>
  <c r="I16" i="1" s="1"/>
  <c r="H17" i="1"/>
  <c r="H16" i="1" s="1"/>
  <c r="F35" i="3"/>
  <c r="D13" i="1" s="1"/>
  <c r="E13" i="1" l="1"/>
  <c r="D12" i="1"/>
  <c r="D11" i="1" l="1"/>
  <c r="D22" i="1" s="1"/>
  <c r="D26" i="2"/>
  <c r="C27" i="15" s="1"/>
  <c r="E108" i="3" s="1"/>
  <c r="D25" i="2"/>
  <c r="C19" i="15" s="1"/>
  <c r="F13" i="1"/>
  <c r="E12" i="1"/>
  <c r="C21" i="15" l="1"/>
  <c r="E100" i="3"/>
  <c r="E102" i="3" s="1"/>
  <c r="G13" i="1"/>
  <c r="F12" i="1"/>
  <c r="D27" i="2"/>
  <c r="D28" i="2" s="1"/>
  <c r="D14" i="2" s="1"/>
  <c r="E11" i="1"/>
  <c r="E22" i="1" s="1"/>
  <c r="E26" i="2"/>
  <c r="D27" i="15" s="1"/>
  <c r="E25" i="2"/>
  <c r="D19" i="15" s="1"/>
  <c r="D21" i="15" s="1"/>
  <c r="D23" i="1"/>
  <c r="D24" i="1" s="1"/>
  <c r="D8" i="2" l="1"/>
  <c r="C33" i="15"/>
  <c r="E27" i="2"/>
  <c r="E28" i="2" s="1"/>
  <c r="E14" i="2" s="1"/>
  <c r="E23" i="1"/>
  <c r="E24" i="1" s="1"/>
  <c r="D10" i="2"/>
  <c r="D11" i="2" s="1"/>
  <c r="D12" i="2"/>
  <c r="C28" i="15" s="1"/>
  <c r="F25" i="2"/>
  <c r="E19" i="15" s="1"/>
  <c r="E21" i="15" s="1"/>
  <c r="F11" i="1"/>
  <c r="F22" i="1" s="1"/>
  <c r="F26" i="2"/>
  <c r="E27" i="15" s="1"/>
  <c r="H13" i="1"/>
  <c r="G12" i="1"/>
  <c r="C29" i="15" l="1"/>
  <c r="E109" i="3"/>
  <c r="E110" i="3" s="1"/>
  <c r="C34" i="15"/>
  <c r="C36" i="15" s="1"/>
  <c r="E114" i="3"/>
  <c r="E115" i="3" s="1"/>
  <c r="E8" i="2"/>
  <c r="D33" i="15"/>
  <c r="D34" i="15" s="1"/>
  <c r="D13" i="2"/>
  <c r="D16" i="2" s="1"/>
  <c r="F27" i="2"/>
  <c r="F28" i="2" s="1"/>
  <c r="F14" i="2" s="1"/>
  <c r="G25" i="2"/>
  <c r="F19" i="15" s="1"/>
  <c r="F21" i="15" s="1"/>
  <c r="G26" i="2"/>
  <c r="F27" i="15" s="1"/>
  <c r="G11" i="1"/>
  <c r="G22" i="1" s="1"/>
  <c r="F23" i="1"/>
  <c r="E12" i="2"/>
  <c r="D28" i="15" s="1"/>
  <c r="D29" i="15" s="1"/>
  <c r="E10" i="2"/>
  <c r="E11" i="2" s="1"/>
  <c r="I13" i="1"/>
  <c r="I12" i="1" s="1"/>
  <c r="H12" i="1"/>
  <c r="D36" i="15" l="1"/>
  <c r="E117" i="3"/>
  <c r="D19" i="2"/>
  <c r="C7" i="6" s="1"/>
  <c r="C9" i="15"/>
  <c r="E13" i="2"/>
  <c r="E16" i="2" s="1"/>
  <c r="I25" i="2"/>
  <c r="H19" i="15" s="1"/>
  <c r="H21" i="15" s="1"/>
  <c r="I11" i="1"/>
  <c r="I22" i="1" s="1"/>
  <c r="I26" i="2"/>
  <c r="H27" i="15" s="1"/>
  <c r="F10" i="2"/>
  <c r="F12" i="2"/>
  <c r="E28" i="15" s="1"/>
  <c r="E29" i="15" s="1"/>
  <c r="G23" i="1"/>
  <c r="G24" i="1" s="1"/>
  <c r="H11" i="1"/>
  <c r="H22" i="1" s="1"/>
  <c r="H25" i="2"/>
  <c r="G19" i="15" s="1"/>
  <c r="G21" i="15" s="1"/>
  <c r="H26" i="2"/>
  <c r="G27" i="15" s="1"/>
  <c r="F24" i="1"/>
  <c r="G27" i="2"/>
  <c r="G28" i="2" s="1"/>
  <c r="G14" i="2" s="1"/>
  <c r="C13" i="15" l="1"/>
  <c r="C23" i="15" s="1"/>
  <c r="E90" i="3"/>
  <c r="E94" i="3" s="1"/>
  <c r="E104" i="3" s="1"/>
  <c r="F8" i="2"/>
  <c r="F11" i="2" s="1"/>
  <c r="F13" i="2" s="1"/>
  <c r="F16" i="2" s="1"/>
  <c r="E33" i="15"/>
  <c r="E34" i="15" s="1"/>
  <c r="E36" i="15" s="1"/>
  <c r="G8" i="2"/>
  <c r="F33" i="15"/>
  <c r="F34" i="15" s="1"/>
  <c r="E19" i="2"/>
  <c r="D7" i="6" s="1"/>
  <c r="D9" i="15"/>
  <c r="D13" i="15" s="1"/>
  <c r="D23" i="15" s="1"/>
  <c r="H27" i="2"/>
  <c r="H28" i="2" s="1"/>
  <c r="H14" i="2" s="1"/>
  <c r="G10" i="2"/>
  <c r="G11" i="2" s="1"/>
  <c r="G12" i="2"/>
  <c r="F28" i="15" s="1"/>
  <c r="F29" i="15" s="1"/>
  <c r="I23" i="1"/>
  <c r="I24" i="1" s="1"/>
  <c r="H23" i="1"/>
  <c r="I27" i="2"/>
  <c r="F36" i="15" l="1"/>
  <c r="I8" i="2"/>
  <c r="H33" i="15"/>
  <c r="H34" i="15" s="1"/>
  <c r="F19" i="2"/>
  <c r="E7" i="6" s="1"/>
  <c r="E9" i="15"/>
  <c r="E13" i="15" s="1"/>
  <c r="E23" i="15" s="1"/>
  <c r="I28" i="2"/>
  <c r="I14" i="2" s="1"/>
  <c r="G13" i="2"/>
  <c r="G16" i="2" s="1"/>
  <c r="H10" i="2"/>
  <c r="H12" i="2"/>
  <c r="G28" i="15" s="1"/>
  <c r="G29" i="15" s="1"/>
  <c r="I12" i="2"/>
  <c r="H28" i="15" s="1"/>
  <c r="H29" i="15" s="1"/>
  <c r="I10" i="2"/>
  <c r="I11" i="2" s="1"/>
  <c r="H24" i="1"/>
  <c r="H36" i="15" l="1"/>
  <c r="G19" i="2"/>
  <c r="F7" i="6" s="1"/>
  <c r="F9" i="15"/>
  <c r="F13" i="15" s="1"/>
  <c r="F23" i="15" s="1"/>
  <c r="H8" i="2"/>
  <c r="H11" i="2" s="1"/>
  <c r="H13" i="2" s="1"/>
  <c r="H16" i="2" s="1"/>
  <c r="G33" i="15"/>
  <c r="G34" i="15" s="1"/>
  <c r="G36" i="15" s="1"/>
  <c r="I13" i="2"/>
  <c r="I16" i="2" s="1"/>
  <c r="H19" i="2" l="1"/>
  <c r="G9" i="15"/>
  <c r="G13" i="15" s="1"/>
  <c r="G23" i="15" s="1"/>
  <c r="I19" i="2"/>
  <c r="H7" i="6" s="1"/>
  <c r="H9" i="15"/>
  <c r="H13" i="15" s="1"/>
  <c r="H23" i="15" s="1"/>
  <c r="G7" i="6"/>
  <c r="D21" i="2"/>
  <c r="C9" i="6" s="1"/>
  <c r="D9" i="6" s="1"/>
  <c r="D20" i="2"/>
  <c r="C8" i="6" s="1"/>
  <c r="D8"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nospina</author>
    <author>mcastano</author>
    <author>amunoz</author>
  </authors>
  <commentList>
    <comment ref="C10" authorId="0" shapeId="0" xr:uid="{00000000-0006-0000-0100-000001000000}">
      <text>
        <r>
          <rPr>
            <b/>
            <sz val="9"/>
            <color indexed="81"/>
            <rFont val="Tahoma"/>
            <family val="2"/>
          </rPr>
          <t xml:space="preserve">
Número de unidades/productos que venderán en el año 1
</t>
        </r>
      </text>
    </comment>
    <comment ref="I10" authorId="1" shapeId="0" xr:uid="{00000000-0006-0000-0100-000002000000}">
      <text>
        <r>
          <rPr>
            <sz val="9"/>
            <color indexed="81"/>
            <rFont val="Tahoma"/>
            <family val="2"/>
          </rPr>
          <t>Teniendo en cuenta el crecimiento del mercado al cual pertenece o va ingresar cada producto o servicio, indique cual es la tasa de crecimiento (en porcentaje).</t>
        </r>
      </text>
    </comment>
    <comment ref="C21" authorId="1" shapeId="0" xr:uid="{00000000-0006-0000-0100-000003000000}">
      <text>
        <r>
          <rPr>
            <sz val="9"/>
            <color indexed="81"/>
            <rFont val="Tahoma"/>
            <family val="2"/>
          </rPr>
          <t>Se determina como inversiones en</t>
        </r>
        <r>
          <rPr>
            <b/>
            <sz val="9"/>
            <color indexed="81"/>
            <rFont val="Tahoma"/>
            <family val="2"/>
          </rPr>
          <t xml:space="preserve"> Negocios Potenciales</t>
        </r>
        <r>
          <rPr>
            <sz val="9"/>
            <color indexed="81"/>
            <rFont val="Tahoma"/>
            <family val="2"/>
          </rPr>
          <t xml:space="preserve">, las realizadas como: costos de prototipo y planta piloto, inversión en planta de producción y demás que consideren.
</t>
        </r>
      </text>
    </comment>
    <comment ref="B28" authorId="2" shapeId="0" xr:uid="{00000000-0006-0000-0100-000004000000}">
      <text>
        <r>
          <rPr>
            <sz val="9"/>
            <color indexed="81"/>
            <rFont val="Tahoma"/>
            <family val="2"/>
          </rPr>
          <t xml:space="preserve">Salarios (contratistas y de planta) relacionados directamente con la operación de la innovación presentada. Preferiblemente se discrimina.
</t>
        </r>
      </text>
    </comment>
    <comment ref="D28" authorId="1" shapeId="0" xr:uid="{00000000-0006-0000-0100-000005000000}">
      <text>
        <r>
          <rPr>
            <sz val="9"/>
            <color indexed="81"/>
            <rFont val="Tahoma"/>
            <family val="2"/>
          </rPr>
          <t xml:space="preserve">
Dedicación mensual por empleado.
</t>
        </r>
      </text>
    </comment>
    <comment ref="E28" authorId="1" shapeId="0" xr:uid="{00000000-0006-0000-0100-000006000000}">
      <text>
        <r>
          <rPr>
            <sz val="9"/>
            <color indexed="81"/>
            <rFont val="Tahoma"/>
            <family val="2"/>
          </rPr>
          <t xml:space="preserve">
Valor total incluyendo prestaciones sociales.</t>
        </r>
      </text>
    </comment>
    <comment ref="D37" authorId="0" shapeId="0" xr:uid="{00000000-0006-0000-0100-000007000000}">
      <text>
        <r>
          <rPr>
            <b/>
            <sz val="9"/>
            <color indexed="81"/>
            <rFont val="Tahoma"/>
            <family val="2"/>
          </rPr>
          <t xml:space="preserve">
Cantidad mensual de los insumos que se necesitan para los productos y servicios. Hay que tener presente que es proporcional al consumo por producto</t>
        </r>
      </text>
    </comment>
    <comment ref="B76" authorId="0" shapeId="0" xr:uid="{00000000-0006-0000-0100-000008000000}">
      <text>
        <r>
          <rPr>
            <b/>
            <sz val="9"/>
            <color indexed="81"/>
            <rFont val="Tahoma"/>
            <family val="2"/>
          </rPr>
          <t>Se determina como inversiones en Negocios Potenciales, l</t>
        </r>
        <r>
          <rPr>
            <sz val="9"/>
            <color indexed="81"/>
            <rFont val="Tahoma"/>
            <family val="2"/>
          </rPr>
          <t>as realizadas como: costos de prototipo y planta piloto, inversión en planta de producción y demás que consideren.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Autor</author>
  </authors>
  <commentList>
    <comment ref="B9" authorId="0" shapeId="0" xr:uid="{1470440F-59D3-44B7-B91C-B903D1568A28}">
      <text>
        <r>
          <rPr>
            <sz val="9"/>
            <color indexed="81"/>
            <rFont val="Tahoma"/>
            <family val="2"/>
          </rPr>
          <t xml:space="preserve">Los creadores de contenido buscan capitalizar su audiencia de una manera más efectiva, bajo las condiciones y los acuerdos que se establecen en la negociación con la agencia. Nos permitimos crear un servicio adecuado para los creadores de contenido en Facebook que tienen la necesidad de hacer crecer sus audiencias, capitalizarlas y redituarlas efectivamente tiene algunas ventajas y beneficios para nuestra empresa: primero establecen acuerdos individuales con los creadores de contenido ofreciendo un servicio personalizado y estableciendo un buen margen de comisión sobre el trabajo desarrollado. Los creadores de contenido han recomendado la empresa a otros creadores, lo que ha permitido que lleguen nuevos socios y nuevas relaciones de negocio para la empresa.
Plataforma: Facebook
Campo: Asesoría
Medio: Asesoria y administración de redes y contenido </t>
        </r>
      </text>
    </comment>
    <comment ref="C9" authorId="1" shapeId="0" xr:uid="{D1EC934A-ED88-4EB6-8795-DC17C4624CE8}">
      <text>
        <r>
          <rPr>
            <b/>
            <sz val="8"/>
            <color indexed="81"/>
            <rFont val="Tahoma"/>
            <family val="2"/>
          </rPr>
          <t>Raw Talent: 
es la primera agencia de Management de México especializada en trabajar con influencers y TikTokers de la Gen-Z, conectando con su talento y con las marcas para crear siempre un contenido único y original.
Plataforma: Instagram
Campo: Intermediarios
Medio: Marketing de Influencers</t>
        </r>
      </text>
    </comment>
    <comment ref="D9" authorId="1" shapeId="0" xr:uid="{B7DE32B9-5311-4067-AE45-CC83E95ECD85}">
      <text>
        <r>
          <rPr>
            <b/>
            <sz val="8"/>
            <color indexed="81"/>
            <rFont val="Tahoma"/>
            <family val="2"/>
          </rPr>
          <t>DC Influencers Marketing: 
Nuestro enfoque es que cada contenido generado se convierta en una ventana diaria de conexión donde las personas descubran marcas, investiguen productos y vivan experiencias traducidas en resultados positivos y en línea a los objetivos planteados por del cliente.
Plataforma: Instagram
Campo: Intermediarios
Medio: Marketing de Influencers</t>
        </r>
      </text>
    </comment>
    <comment ref="E9" authorId="1" shapeId="0" xr:uid="{8F8A5D43-A57F-4E3E-9416-62921AE9CCC9}">
      <text>
        <r>
          <rPr>
            <b/>
            <sz val="8"/>
            <color indexed="81"/>
            <rFont val="Tahoma"/>
            <family val="2"/>
          </rPr>
          <t xml:space="preserve">Match Agency:
Somos una agencia experta en crear el Match de los influencer y las marcas, logrando resultados 100% medibles.
Plataforma: Instagram
Campo: Intermediarios
Medio: Marketing de Influencers
</t>
        </r>
      </text>
    </comment>
    <comment ref="F9" authorId="1" shapeId="0" xr:uid="{C99D311E-A11E-4555-B022-E0A87991CA8F}">
      <text>
        <r>
          <rPr>
            <b/>
            <sz val="8"/>
            <color indexed="81"/>
            <rFont val="Tahoma"/>
            <family val="2"/>
          </rPr>
          <t>Ranga Media:
Es una compañía tipo boutique dedicada al influencer marketing, capaz de implementar a los mejores creadores de contenido digital a tus estrategias de mercadeo, haciendo uso  de plataformas digitales, eventos online y offline, activaciones de marca, y mucho más. Logrando conectar a sus audiencias con tu marca y tu producto o servicio, todo esto basado en insights (conocimientos) claros y objetivos específicos.
Plataforma: Instagram
Campo: Intermediarios
Medio: Marketing de Influencers</t>
        </r>
      </text>
    </comment>
    <comment ref="G9" authorId="1" shapeId="0" xr:uid="{9FB7FF0C-F0BB-4091-B85D-7BCAB79A2751}">
      <text>
        <r>
          <rPr>
            <b/>
            <sz val="8"/>
            <color indexed="81"/>
            <rFont val="Tahoma"/>
            <family val="2"/>
          </rPr>
          <t>Trendsetters
Conectamos a nuestros clientes con los influencers más diversos y relevantes de la región para todo tipo de campañas y proyectos artísticos.
Adquisición de usuarios
Branded content
Campañas con música
Campaña de Live Commerce
Herramientas de venta
Plataforma: Instagram
Campo: Intermediarios
Medio: Marketing de Influencers</t>
        </r>
      </text>
    </comment>
    <comment ref="H9" authorId="1" shapeId="0" xr:uid="{5A97B5C1-8CF0-4BA3-A785-2CCF4B1D4357}">
      <text>
        <r>
          <rPr>
            <b/>
            <sz val="8"/>
            <color indexed="81"/>
            <rFont val="Tahoma"/>
            <family val="2"/>
          </rPr>
          <t>Somos Influencers
Con nuestra comunidad podras viralizar contenidos para que puedas incidir sobre las decisiones de consumo, marcando la tendencia y generando acción sobre tu producto, marca o agencia .
Plataforma: Instagram
Campo: Intermediarios
Medio: Marketing de Influencers</t>
        </r>
      </text>
    </comment>
    <comment ref="A10" authorId="1" shapeId="0" xr:uid="{67DD3D6F-3BF4-41CB-A2F0-EFD12EAD60D2}">
      <text>
        <r>
          <rPr>
            <b/>
            <sz val="8"/>
            <color indexed="81"/>
            <rFont val="Tahoma"/>
            <family val="2"/>
          </rPr>
          <t>Insertar características de percepción por nuestro público objetivo</t>
        </r>
      </text>
    </comment>
    <comment ref="A11" authorId="1" shapeId="0" xr:uid="{1F90CCB8-06E9-43D6-B809-02E7F8411B12}">
      <text>
        <r>
          <rPr>
            <b/>
            <sz val="8"/>
            <color indexed="81"/>
            <rFont val="Tahoma"/>
            <family val="2"/>
          </rPr>
          <t xml:space="preserve">Insertar características de percepción por nuestro público objetivo
</t>
        </r>
        <r>
          <rPr>
            <sz val="8"/>
            <color indexed="81"/>
            <rFont val="Tahoma"/>
            <family val="2"/>
          </rPr>
          <t xml:space="preserve">
</t>
        </r>
      </text>
    </comment>
    <comment ref="A12" authorId="1" shapeId="0" xr:uid="{34FC9C1A-CC70-4067-A9B7-C0A308518365}">
      <text>
        <r>
          <rPr>
            <b/>
            <sz val="8"/>
            <color indexed="81"/>
            <rFont val="Tahoma"/>
            <family val="2"/>
          </rPr>
          <t>Insertar características de percepción por nuestro público objetivo</t>
        </r>
        <r>
          <rPr>
            <sz val="8"/>
            <color indexed="81"/>
            <rFont val="Tahoma"/>
            <family val="2"/>
          </rPr>
          <t xml:space="preserve">
</t>
        </r>
      </text>
    </comment>
    <comment ref="A13" authorId="1" shapeId="0" xr:uid="{F64DD3B0-AFE3-4B94-8C12-490DA6B0EB45}">
      <text>
        <r>
          <rPr>
            <b/>
            <sz val="8"/>
            <color indexed="81"/>
            <rFont val="Tahoma"/>
            <family val="2"/>
          </rPr>
          <t xml:space="preserve">Insertar características de percepción por nuestro público objetivo
</t>
        </r>
        <r>
          <rPr>
            <sz val="8"/>
            <color indexed="81"/>
            <rFont val="Tahoma"/>
            <family val="2"/>
          </rPr>
          <t xml:space="preserve">
</t>
        </r>
      </text>
    </comment>
    <comment ref="A14" authorId="1" shapeId="0" xr:uid="{444F4193-656F-40B4-94D1-CBC6A70BEFB0}">
      <text>
        <r>
          <rPr>
            <b/>
            <sz val="8"/>
            <color indexed="81"/>
            <rFont val="Tahoma"/>
            <family val="2"/>
          </rPr>
          <t>Insertar características de percepción por nuestro público objetivo</t>
        </r>
        <r>
          <rPr>
            <sz val="8"/>
            <color indexed="81"/>
            <rFont val="Tahoma"/>
            <family val="2"/>
          </rPr>
          <t xml:space="preserve">
</t>
        </r>
      </text>
    </comment>
    <comment ref="A15" authorId="1" shapeId="0" xr:uid="{D8C4B14E-F3D9-4AB4-9E81-32560DEC09E0}">
      <text>
        <r>
          <rPr>
            <b/>
            <sz val="8"/>
            <color indexed="81"/>
            <rFont val="Tahoma"/>
            <family val="2"/>
          </rPr>
          <t>Insertar características de percepción por nuestro público objetivo</t>
        </r>
        <r>
          <rPr>
            <sz val="8"/>
            <color indexed="81"/>
            <rFont val="Tahoma"/>
            <family val="2"/>
          </rPr>
          <t xml:space="preserve">
</t>
        </r>
      </text>
    </comment>
    <comment ref="A16" authorId="1" shapeId="0" xr:uid="{238715FC-AD4B-415D-B948-F945E0534D73}">
      <text>
        <r>
          <rPr>
            <b/>
            <sz val="8"/>
            <color indexed="81"/>
            <rFont val="Tahoma"/>
            <family val="2"/>
          </rPr>
          <t>Insertar características de percepción por nuestro público objetivo</t>
        </r>
        <r>
          <rPr>
            <sz val="8"/>
            <color indexed="81"/>
            <rFont val="Tahoma"/>
            <family val="2"/>
          </rPr>
          <t xml:space="preserve">
</t>
        </r>
      </text>
    </comment>
    <comment ref="A17" authorId="1" shapeId="0" xr:uid="{126298B4-CCF2-46FA-A330-6CDDE3F0D99B}">
      <text>
        <r>
          <rPr>
            <b/>
            <sz val="8"/>
            <color indexed="81"/>
            <rFont val="Tahoma"/>
            <family val="2"/>
          </rPr>
          <t>Insertar características de percepción por nuestro público objetivo</t>
        </r>
        <r>
          <rPr>
            <sz val="8"/>
            <color indexed="81"/>
            <rFont val="Tahoma"/>
            <family val="2"/>
          </rPr>
          <t xml:space="preserve">
</t>
        </r>
      </text>
    </comment>
    <comment ref="A18" authorId="1" shapeId="0" xr:uid="{FB051490-3794-4373-B930-DC69E20E48E8}">
      <text>
        <r>
          <rPr>
            <b/>
            <sz val="8"/>
            <color indexed="81"/>
            <rFont val="Tahoma"/>
            <family val="2"/>
          </rPr>
          <t>Insertar características de percepción por nuestro público objetivo</t>
        </r>
        <r>
          <rPr>
            <sz val="8"/>
            <color indexed="81"/>
            <rFont val="Tahoma"/>
            <family val="2"/>
          </rPr>
          <t xml:space="preserve">
</t>
        </r>
      </text>
    </comment>
    <comment ref="A19" authorId="1" shapeId="0" xr:uid="{C9C9CDF1-2F1E-4D3B-ADA1-0D7A85C46554}">
      <text>
        <r>
          <rPr>
            <b/>
            <sz val="8"/>
            <color indexed="81"/>
            <rFont val="Tahoma"/>
            <family val="2"/>
          </rPr>
          <t>Insertar características de percepción por nuestro público objetivo</t>
        </r>
        <r>
          <rPr>
            <sz val="8"/>
            <color indexed="81"/>
            <rFont val="Tahoma"/>
            <family val="2"/>
          </rPr>
          <t xml:space="preserve">
</t>
        </r>
      </text>
    </comment>
    <comment ref="A20" authorId="1" shapeId="0" xr:uid="{7E6B0172-C071-46BE-B2F4-AF58437515C6}">
      <text>
        <r>
          <rPr>
            <b/>
            <sz val="8"/>
            <color indexed="81"/>
            <rFont val="Tahoma"/>
            <family val="2"/>
          </rPr>
          <t xml:space="preserve">Insertar características de percepción de Nuestro Publico Objetivo
</t>
        </r>
        <r>
          <rPr>
            <sz val="8"/>
            <color indexed="81"/>
            <rFont val="Tahoma"/>
            <family val="2"/>
          </rPr>
          <t xml:space="preserve">
</t>
        </r>
      </text>
    </comment>
  </commentList>
</comments>
</file>

<file path=xl/sharedStrings.xml><?xml version="1.0" encoding="utf-8"?>
<sst xmlns="http://schemas.openxmlformats.org/spreadsheetml/2006/main" count="655" uniqueCount="466">
  <si>
    <t>Impuesto de Renta</t>
  </si>
  <si>
    <t>EBITDA</t>
  </si>
  <si>
    <t>Flujo de Caja Bruto</t>
  </si>
  <si>
    <t>VPN (Valor Presente Neto)</t>
  </si>
  <si>
    <t>IPC Proyectado</t>
  </si>
  <si>
    <t>Flujo de Caja Proyectado</t>
  </si>
  <si>
    <t>Total Costos y Gastos</t>
  </si>
  <si>
    <t>Gastos totales</t>
  </si>
  <si>
    <t>Impto de renta</t>
  </si>
  <si>
    <t>Costos de ventas y prestación del Servicio</t>
  </si>
  <si>
    <t>COSTOS OPERATIVOS</t>
  </si>
  <si>
    <t>Cantidad</t>
  </si>
  <si>
    <t>OTROS</t>
  </si>
  <si>
    <t>PERSONAL</t>
  </si>
  <si>
    <t>Administrador</t>
  </si>
  <si>
    <t>SERVICIOS CONTRATADOS</t>
  </si>
  <si>
    <t>Arriendo</t>
  </si>
  <si>
    <t>Servicios Públicos y Celulares</t>
  </si>
  <si>
    <t xml:space="preserve">Nombre del proyecto: </t>
  </si>
  <si>
    <t>COSTOS Y GASTOS</t>
  </si>
  <si>
    <t>GASTOS</t>
  </si>
  <si>
    <t>Total Ingresos</t>
  </si>
  <si>
    <t>Valor anual</t>
  </si>
  <si>
    <t xml:space="preserve">Cantidad </t>
  </si>
  <si>
    <t>Valor mensual</t>
  </si>
  <si>
    <t>TOTAL</t>
  </si>
  <si>
    <t>Crecimiento anual en ventas</t>
  </si>
  <si>
    <t>Año</t>
  </si>
  <si>
    <t>Crecimiento en precios- IPC Proyectado</t>
  </si>
  <si>
    <t>IPC</t>
  </si>
  <si>
    <t>Utilidad neta</t>
  </si>
  <si>
    <t>Gastos operacionales de ventas y administración</t>
  </si>
  <si>
    <t>Gastos de Personal</t>
  </si>
  <si>
    <t>Servicios contratados/Honorarios</t>
  </si>
  <si>
    <t>Otros gastos no operativos (arriendo, servicios, papelería, etc)</t>
  </si>
  <si>
    <t>Otros (Mantenimiento, raparaciones, etc)</t>
  </si>
  <si>
    <t>Materiales e insumos</t>
  </si>
  <si>
    <t>$</t>
  </si>
  <si>
    <t>Cuentas por cobrar</t>
  </si>
  <si>
    <t>Inventarios</t>
  </si>
  <si>
    <t>Terrenos</t>
  </si>
  <si>
    <t>Construcciones y Edificios</t>
  </si>
  <si>
    <t>Maquinaria y Equipo</t>
  </si>
  <si>
    <t>Muebles y Enseres</t>
  </si>
  <si>
    <t>Equipo de Transporte</t>
  </si>
  <si>
    <t>Inversiones (Inicio Período)</t>
  </si>
  <si>
    <t>Equipos de Oficina</t>
  </si>
  <si>
    <t>Total Inversiones</t>
  </si>
  <si>
    <t>INVERSIÓN</t>
  </si>
  <si>
    <t>MATERIA PRIMA/INSUMOS</t>
  </si>
  <si>
    <t>OBSERVACIONES</t>
  </si>
  <si>
    <t>Año 1</t>
  </si>
  <si>
    <t>Año 2</t>
  </si>
  <si>
    <t>Año 3</t>
  </si>
  <si>
    <t>Año 4</t>
  </si>
  <si>
    <t>Año 5</t>
  </si>
  <si>
    <t xml:space="preserve">Utilidad/Perdida </t>
  </si>
  <si>
    <t>Total Costo de Venta y Producción</t>
  </si>
  <si>
    <r>
      <rPr>
        <b/>
        <sz val="11"/>
        <rFont val="Calibri"/>
        <family val="2"/>
        <scheme val="minor"/>
      </rPr>
      <t>NÓMINA</t>
    </r>
    <r>
      <rPr>
        <b/>
        <sz val="11"/>
        <color theme="1"/>
        <rFont val="Calibri"/>
        <family val="2"/>
        <scheme val="minor"/>
      </rPr>
      <t xml:space="preserve"> OPERACIONAL/MANO DE OBRA</t>
    </r>
  </si>
  <si>
    <t>Vida útil</t>
  </si>
  <si>
    <t xml:space="preserve">Depreciación </t>
  </si>
  <si>
    <t>Inversiones</t>
  </si>
  <si>
    <t>Año 0</t>
  </si>
  <si>
    <t>FCL (Flujo de Caja Libre)</t>
  </si>
  <si>
    <t>TIR (Tasa Interna de Retorno)</t>
  </si>
  <si>
    <t>INDICADORES FINANCIEROS</t>
  </si>
  <si>
    <t>TASA DE DESCUENTO</t>
  </si>
  <si>
    <t xml:space="preserve">                                                                                                                                                                                                                                                                                                                                                                                                                                                                                                                                                                                                                                                                                                                                                                                                                                                                                                                                                                                                                                                                                                                                                                                                                                                                                                                                                                                                                                                                                                                                                                                                                                                                                                                                                                                                                                                                                                                                                                                                                                                                                                                                  </t>
  </si>
  <si>
    <t>Precio Unitario</t>
  </si>
  <si>
    <t>Nombre del producto/servicio/ ahorros generado(s) por la innovación presentada</t>
  </si>
  <si>
    <t>Crecimiento de mercado</t>
  </si>
  <si>
    <t>TOTAL INGRESOS</t>
  </si>
  <si>
    <t>INGRESOS</t>
  </si>
  <si>
    <t xml:space="preserve">Depreciaciones </t>
  </si>
  <si>
    <t>Depreciaciones</t>
  </si>
  <si>
    <t>https://www.larepublica.co/economia/colombia-acumularia-su-inflacion-mas-baja-este-ano-precios-subirian-moderadamente-en-2021-3107002</t>
  </si>
  <si>
    <t>https://www.larepublica.co/economia/asi-quedaron-los-impuestos-en-2020-con-la-reforma-tributaria-2946739#:~:text=Impuesto%20a%20la%20renta%20y,2021%20y%2030%25%20para%202022.</t>
  </si>
  <si>
    <t>América Latina: Inflación del IPC y proyecciones de S&amp;P Global Ratings (promedio). Recuperación económica tras COVID-19 será desigual en América Latina</t>
  </si>
  <si>
    <t>Cuentas por Pagar (Día)</t>
  </si>
  <si>
    <t>Cuentas por Cobrar (Días)</t>
  </si>
  <si>
    <t>Cuentas por pagar</t>
  </si>
  <si>
    <t>(=)</t>
  </si>
  <si>
    <t>(+)</t>
  </si>
  <si>
    <t>(-)</t>
  </si>
  <si>
    <t>Utilidad Neta</t>
  </si>
  <si>
    <t>KTNO</t>
  </si>
  <si>
    <t xml:space="preserve">Flujo de Caja Libre </t>
  </si>
  <si>
    <t>Variación KTNO</t>
  </si>
  <si>
    <t>Costo</t>
  </si>
  <si>
    <t>Unidad</t>
  </si>
  <si>
    <t>SALARIO BÁSICO</t>
  </si>
  <si>
    <t>sueldo</t>
  </si>
  <si>
    <t>auxilio transporte</t>
  </si>
  <si>
    <t>salud</t>
  </si>
  <si>
    <t>pension</t>
  </si>
  <si>
    <t>prima</t>
  </si>
  <si>
    <t>cesantias</t>
  </si>
  <si>
    <t>intereses</t>
  </si>
  <si>
    <t>vacaciones</t>
  </si>
  <si>
    <t>SUELDO MENSUAL</t>
  </si>
  <si>
    <t>Distribución</t>
  </si>
  <si>
    <t>Ingeniero de sistemas</t>
  </si>
  <si>
    <t>Contador</t>
  </si>
  <si>
    <t>Juridico</t>
  </si>
  <si>
    <t>Asesoria inicial</t>
  </si>
  <si>
    <t>Páginas</t>
  </si>
  <si>
    <t>Afiliación</t>
  </si>
  <si>
    <t>Canon de mantenimiento de la página</t>
  </si>
  <si>
    <t>Comunicaciones</t>
  </si>
  <si>
    <t>ESTUDIO DE MERCADO</t>
  </si>
  <si>
    <t>PERCEPCIÓN DE NUESTRO PÚBLICO OBJETIVO</t>
  </si>
  <si>
    <t>puntuar de 1 a 10 para nuestra empresa y para cada competidor</t>
  </si>
  <si>
    <t>CARACTERÍSTICAS</t>
  </si>
  <si>
    <t>COMPETIDORES</t>
  </si>
  <si>
    <t>NUESTRA EMPRESA</t>
  </si>
  <si>
    <t>MEDIA</t>
  </si>
  <si>
    <t>Precio</t>
  </si>
  <si>
    <t>Calidad</t>
  </si>
  <si>
    <t>Imagen</t>
  </si>
  <si>
    <t>Reconocimiento de marca</t>
  </si>
  <si>
    <t>Relación con los clientes</t>
  </si>
  <si>
    <t>Ubicación</t>
  </si>
  <si>
    <t>Servicio al cliente</t>
  </si>
  <si>
    <t>Servicio Post-Venta</t>
  </si>
  <si>
    <t>Tiempo de entrega</t>
  </si>
  <si>
    <t>Formas de pago</t>
  </si>
  <si>
    <t>Costes</t>
  </si>
  <si>
    <t>TOTAL PUNTOS</t>
  </si>
  <si>
    <t>COMPONENTE DEL MEDIO AMBIENTE</t>
  </si>
  <si>
    <t>ELEMENTOS DEL MEDIO AMBIENTE</t>
  </si>
  <si>
    <t>ITEM</t>
  </si>
  <si>
    <t>IMPACTO ESPECIFICO</t>
  </si>
  <si>
    <t>3. EVALUACION</t>
  </si>
  <si>
    <t>4. RESUMEN</t>
  </si>
  <si>
    <t>MANEJO DE ARCHIVO, PUBLICACIONES, COMUNICACIONES INTERNAS Y EXTERNAS, DOCUMENTOS, CORRESPONDENCIA.</t>
  </si>
  <si>
    <t>CONSUMO DE ALIMENTOS Y OTROS.</t>
  </si>
  <si>
    <t>ELABORACION DE DOCUMENTOS</t>
  </si>
  <si>
    <t xml:space="preserve">MANTENIMIENTO DE INSTALACIONES </t>
  </si>
  <si>
    <t>REDES DE SERVICIOS PUBLICOS</t>
  </si>
  <si>
    <t>USO DE BAÑOS</t>
  </si>
  <si>
    <t>ACTIVIDADES DE ASEO Y LIMPIEZA</t>
  </si>
  <si>
    <t>DESPLAZAMIENTOS EXTERNOS</t>
  </si>
  <si>
    <t>INTENSIDAD (U)</t>
  </si>
  <si>
    <t>EXTENSION (EX)</t>
  </si>
  <si>
    <t>MOMENTO (MO)</t>
  </si>
  <si>
    <t>PERSISTENCIA (PE)</t>
  </si>
  <si>
    <t>REVERSIBILIDAD (RV)</t>
  </si>
  <si>
    <t>RECUPERABILIDAD (MC)</t>
  </si>
  <si>
    <t>EFECTO (EF)</t>
  </si>
  <si>
    <t>PERIODICIDAD (PR)</t>
  </si>
  <si>
    <t>CARÁCTER (SIGNO) + o -</t>
  </si>
  <si>
    <t>IMPORTANCIA (I)    I=(+/-) (3U+2EX+MO+PE+RV+MC+EF+PR)</t>
  </si>
  <si>
    <t>COMPONENTE FISICO</t>
  </si>
  <si>
    <t>1. RECURSO SUELO</t>
  </si>
  <si>
    <t>1.1</t>
  </si>
  <si>
    <t xml:space="preserve">Contaminacion de Suelos </t>
  </si>
  <si>
    <t>X</t>
  </si>
  <si>
    <t>-</t>
  </si>
  <si>
    <t>1.2</t>
  </si>
  <si>
    <t xml:space="preserve">Presión sobre relleno sanitario </t>
  </si>
  <si>
    <t>2. RECURSO AGUA</t>
  </si>
  <si>
    <t>2.1</t>
  </si>
  <si>
    <t xml:space="preserve">Presión sobre los recursos naturales </t>
  </si>
  <si>
    <t>2.2</t>
  </si>
  <si>
    <t>Contaminación del agua</t>
  </si>
  <si>
    <t>3. CALIDAD DE AIRE Y RUIDO</t>
  </si>
  <si>
    <t>3.1</t>
  </si>
  <si>
    <t>Contaminación atmosférica</t>
  </si>
  <si>
    <t>3.2</t>
  </si>
  <si>
    <t>SOCIOECONOMICO Y CULTURAL</t>
  </si>
  <si>
    <t>4. COMUNIDADES Y ACTIVIDADES ECONOMICAS</t>
  </si>
  <si>
    <t>6.1</t>
  </si>
  <si>
    <t>Generacion de empleo</t>
  </si>
  <si>
    <t>+</t>
  </si>
  <si>
    <t>6.2</t>
  </si>
  <si>
    <t>Conflictos con la comunidad</t>
  </si>
  <si>
    <t>5. SALUD Y SEGURIDAD HUMANA</t>
  </si>
  <si>
    <t>9.1</t>
  </si>
  <si>
    <t>Accidentalidad de personal</t>
  </si>
  <si>
    <t>9.3</t>
  </si>
  <si>
    <t>Cambios en seguridad ciudadana (robos)</t>
  </si>
  <si>
    <t>9.4</t>
  </si>
  <si>
    <t>Cambios en salud de los trabajadores</t>
  </si>
  <si>
    <t>9.5</t>
  </si>
  <si>
    <t>Cambios en la salud de la comunidad</t>
  </si>
  <si>
    <t>Beneficiosos</t>
  </si>
  <si>
    <t>Irrelevantes</t>
  </si>
  <si>
    <t>Raw Talent</t>
  </si>
  <si>
    <t>DCInfluenc</t>
  </si>
  <si>
    <t>MatchAgenc</t>
  </si>
  <si>
    <t>RangaMedia</t>
  </si>
  <si>
    <t xml:space="preserve">  Trendset</t>
  </si>
  <si>
    <t>SomosInflu</t>
  </si>
  <si>
    <t>USO PERMANENTE DE EQUIPOS DE GRABACIÓN, LUMINARIAS, FOTOCOPIADORA</t>
  </si>
  <si>
    <t>ACOMPAÑAMIENTO DEL PERSONAL A GRABACIÓN DE LOS INFLUENCERS</t>
  </si>
  <si>
    <t xml:space="preserve">MATRIZ   IDENTIFICACION EVALUACION    Y CONTROL ASPECTOS  E IMPACTOS </t>
  </si>
  <si>
    <t>CUADRO No. 1. CRITERIOS</t>
  </si>
  <si>
    <t>PARAMETROS DE CALIFICACION AMBIENTAL</t>
  </si>
  <si>
    <t>PARAMETRO</t>
  </si>
  <si>
    <t>DESCRIPCION</t>
  </si>
  <si>
    <t>CALIFICACION</t>
  </si>
  <si>
    <t>VALOR</t>
  </si>
  <si>
    <t>SIGNO o CARÁCTER</t>
  </si>
  <si>
    <t>Si la acción genera un cambio que puede considerarse benefico o perjudicial</t>
  </si>
  <si>
    <t>POSITIVO (BENEFICO)</t>
  </si>
  <si>
    <t>NEGATIVO (PERJUDICIAL)</t>
  </si>
  <si>
    <t>INTENSIDAD O MAGNITUD (U)</t>
  </si>
  <si>
    <t>Intensidad o grado de incidencia o de cambio que una accion produce sobre un factor ambiental considerado. Siempre esta en función de la variación de las condiciones iniciales del area</t>
  </si>
  <si>
    <t>ACCION MINIMIZADA</t>
  </si>
  <si>
    <t>ACCION MEDIA</t>
  </si>
  <si>
    <t>ACCION ALTA</t>
  </si>
  <si>
    <t>ACCION MUY ALTA</t>
  </si>
  <si>
    <t>DESTRUCCIONM TOTAL</t>
  </si>
  <si>
    <t>EXTENSION (o AREA DE INFLUENCIA) (EX)</t>
  </si>
  <si>
    <t>Tiene en cuenta la superficie espacial afectada por una accion determinada. Se refiere al area de influencia teorica del efecto, en relación con el entrono del proyecto (% de area en que se manifiesta el efecto</t>
  </si>
  <si>
    <t>PUNTUAL</t>
  </si>
  <si>
    <t>PARCIAL O LOCAL</t>
  </si>
  <si>
    <t>EXTENSO O REGIONAL</t>
  </si>
  <si>
    <t>Con el se busca establecer el tiempo que transcurre entre el inicio de la acción y el comienzo del efecto</t>
  </si>
  <si>
    <t>INMEDIATO O CORTO PLAZO</t>
  </si>
  <si>
    <t>MEDIANO PLAZO (1 A 5 AÑOS)</t>
  </si>
  <si>
    <t>LARGO PLAZO (MAS DE 5 AÑOS)</t>
  </si>
  <si>
    <t>Califica el tiempo que permanecera el efecto desde su aparición y a partir del cual, el efecto afectado retornaria a las condiciones iniciales, anteriores a la presencia de la accion que lo modifica</t>
  </si>
  <si>
    <t>FUGAZ (&lt; 1 AÑO)</t>
  </si>
  <si>
    <t>TEMPORAL (1 A 10 AÑOS)</t>
  </si>
  <si>
    <t>PERMANENTE (&gt; 10 AÑOS)</t>
  </si>
  <si>
    <t>Tiene en cuenta la posibilidad, dificultad o imposibilidad que tiene el factor ambiental de retornar a la condicion anterior, por la sola acción de mecanismos naturales</t>
  </si>
  <si>
    <t>CORTO PLAZO</t>
  </si>
  <si>
    <t>IRREVERSIBLE</t>
  </si>
  <si>
    <t>RECUPERACION O MITIGABILIDAD (MC)</t>
  </si>
  <si>
    <t>Se refiere a la posibilidad de reconstrucción parcial o total del factor afectado como consecuencia de la acción del proyecto considerada, mediante la introducción de medidas de manejo o correctoras</t>
  </si>
  <si>
    <t>RECUPERABLE</t>
  </si>
  <si>
    <t>PREVENCION</t>
  </si>
  <si>
    <t>MITIGABLE</t>
  </si>
  <si>
    <t>IRRECUPERABLE</t>
  </si>
  <si>
    <t>Podrá ser indirecto si la acción es directa sobre el entorno o indirecta si el efecto se presenta a partir de un efecto primario</t>
  </si>
  <si>
    <t>INDIRECTO</t>
  </si>
  <si>
    <t>DIRECTO</t>
  </si>
  <si>
    <t>Se refiere a la regularidad con que se manifiesta el efecto</t>
  </si>
  <si>
    <t>CONTINUO</t>
  </si>
  <si>
    <t>PERIODICO</t>
  </si>
  <si>
    <t>IRREGULAR</t>
  </si>
  <si>
    <t>IMPORTANCIA</t>
  </si>
  <si>
    <t>La importancia del efecto es función del valor asignado a los simbolos considerados</t>
  </si>
  <si>
    <t>I=(+/-) (3U+2EX+MO+PE+RV+MC+EF+PR)</t>
  </si>
  <si>
    <t xml:space="preserve">           MATRIZ   IDENTIFICACION EVALUACION    Y                                                                                                                            CONTROL ASPECTOS  E IMPACTOS </t>
  </si>
  <si>
    <t>EVALUACION AMBIENTAL</t>
  </si>
  <si>
    <t>El presente  tiene como objetivo identificar los efectos significativos que se esperan se generen durante  la Construcción del proyecto.</t>
  </si>
  <si>
    <t>El análisis abarca la especificación de impactos tanto negativos como positivos, identificando de manera precisa aquellos que serán inevitables e irreversibles, los cuales sirven de base para diseñar las medidas de prevención, corrección, mitigación y compensación.</t>
  </si>
  <si>
    <t>Metodología</t>
  </si>
  <si>
    <t>La metodología empleada para la valoración de impactos es la desarrollada por Conesa Fernández – Vitora (1993), en la cual se evalúan los siguientes parámetros:</t>
  </si>
  <si>
    <r>
      <t>Naturaleza (Signo):</t>
    </r>
    <r>
      <rPr>
        <sz val="11"/>
        <color theme="1"/>
        <rFont val="Arial"/>
        <family val="2"/>
      </rPr>
      <t xml:space="preserve"> El signo del impacto hace alusión al carácter beneficioso (+) o perjudicial (-) de los distintos aspectos que van a actuar sobre los distintos factores considerad</t>
    </r>
    <r>
      <rPr>
        <b/>
        <sz val="11"/>
        <color theme="1"/>
        <rFont val="Arial"/>
        <family val="2"/>
      </rPr>
      <t>os.</t>
    </r>
  </si>
  <si>
    <r>
      <t xml:space="preserve">Intensidad: (I) </t>
    </r>
    <r>
      <rPr>
        <sz val="11"/>
        <color theme="1"/>
        <rFont val="Arial"/>
        <family val="2"/>
      </rPr>
      <t>Se refiere al grado de incidencia del aspecto sobre el factor en el ámbito específico en que actúa.</t>
    </r>
  </si>
  <si>
    <r>
      <t xml:space="preserve">Extensión: </t>
    </r>
    <r>
      <rPr>
        <sz val="11"/>
        <color theme="1"/>
        <rFont val="Arial"/>
        <family val="2"/>
      </rPr>
      <t>Se refiere al área de influencia teórica del impacto en relación con el entorno del proyecto</t>
    </r>
    <r>
      <rPr>
        <b/>
        <sz val="11"/>
        <color theme="1"/>
        <rFont val="Arial"/>
        <family val="2"/>
      </rPr>
      <t>.</t>
    </r>
  </si>
  <si>
    <r>
      <t xml:space="preserve">Momento: </t>
    </r>
    <r>
      <rPr>
        <sz val="11"/>
        <color theme="1"/>
        <rFont val="Arial"/>
        <family val="2"/>
      </rPr>
      <t>El plazo de manifestación del impacto alude al tiempo que transcurre entre la aparición del aspecto y el comienzo del impacto sobre el factor del medio considerado.</t>
    </r>
  </si>
  <si>
    <r>
      <t xml:space="preserve">Persistencia: </t>
    </r>
    <r>
      <rPr>
        <sz val="11"/>
        <color theme="1"/>
        <rFont val="Arial"/>
        <family val="2"/>
      </rPr>
      <t>Se refiere al tiempo que, supuestamente, permanecería el impacto desde su aparición y, a partir del cual el factor afectado retornaría a las condiciones iniciales previas al aspecto por medios naturales, o mediante la introducción de medidas correctoras.</t>
    </r>
  </si>
  <si>
    <r>
      <t xml:space="preserve">Reversibilidad: </t>
    </r>
    <r>
      <rPr>
        <sz val="11"/>
        <color theme="1"/>
        <rFont val="Arial"/>
        <family val="2"/>
      </rPr>
      <t>Se refiere a la posibilidad de reconstrucción del factor afectado por el proyecto, es decir, la posibilidad de retornar a las condiciones</t>
    </r>
  </si>
  <si>
    <r>
      <t xml:space="preserve">Recuperabilidad: </t>
    </r>
    <r>
      <rPr>
        <sz val="11"/>
        <color theme="1"/>
        <rFont val="Arial"/>
        <family val="2"/>
      </rPr>
      <t>Se refiere a la posibilidad de reconstrucción, total o parcial, del factor afectado como consecuencia del proyecto, es decir, la posibilidad de retornar a las condiciones iniciales previas al aspecto, por medio de la intervención humana (introducción de medidas correctoras).</t>
    </r>
  </si>
  <si>
    <r>
      <t xml:space="preserve">Efecto: </t>
    </r>
    <r>
      <rPr>
        <sz val="11"/>
        <color theme="1"/>
        <rFont val="Arial"/>
        <family val="2"/>
      </rPr>
      <t>Se refiere a la relación causa-efecto, o sea a la forma de manifestación del impacto sobre un factor, como consecuencia de un aspecto. El efecto puede ser Directo o Indirecto.</t>
    </r>
  </si>
  <si>
    <t>Cuando el Efecto es directo, siendo en este caso la repercusión del aspecto consecuencia directa de este. Por ejemplo, la emisión de CO, impacta sobre el aire del entorno.</t>
  </si>
  <si>
    <t>Cuando el Efecto es indirecto, su manifestación no es consecuencia directa del aspecto, sino que tiene lugar a partir de un impacto primario, actuando este como un aspecto de segundo orden.</t>
  </si>
  <si>
    <r>
      <t xml:space="preserve">Periodicidad: </t>
    </r>
    <r>
      <rPr>
        <sz val="11"/>
        <color theme="1"/>
        <rFont val="Arial"/>
        <family val="2"/>
      </rPr>
      <t>Se refiere a la regularidad de la manifestación del impacto, bien sea de manera cíclica o recurrente (impacto periódico), de forma impredecible en el tiempo (irregular), o constante en el tiempo (continuo).</t>
    </r>
  </si>
  <si>
    <t>Después de asignar un valor a cada uno de los parámetros de calificación del impacto ambiental, se determina la importancia de este por medio del siguiente algoritmo, propuesto en la metodología de Conesa</t>
  </si>
  <si>
    <t>IMPORTANCIA                     I=(+/-) (3U+2EX+MO+PE+RV+MC+EF+PR)</t>
  </si>
  <si>
    <t>En el Cuadro No. 4.1: Parámetros de Calificación Ambiental, se puede observar los valores que pueden tomar cada uno de los parámetros de calificación del impacto ambiental</t>
  </si>
  <si>
    <t>Valoración e Identificación de Impactos</t>
  </si>
  <si>
    <t>En los cuadros 4.2, 4-3 y 4.4  se muestran las matrices de Identificación de Impactos y de Calificación de impactos ambientales de los efectos generados sobre el cada uno de los medios afectados-</t>
  </si>
  <si>
    <t>Calificación de Impactos</t>
  </si>
  <si>
    <t xml:space="preserve">A partir de las valoraciones asignadas a cada criterio de evaluación, el menor valor de importancia es ocho (8) y el mayor es cuarenta y ocho (48); rango a partir del cual, se establecieron cuatro niveles de importancia de los impactos: </t>
  </si>
  <si>
    <t xml:space="preserve">Un valor de importancia menor de -14 corresponde a impactos cuya importancia es irrelevante. </t>
  </si>
  <si>
    <t xml:space="preserve">Un valor de importancia entre -15 y -29 corresponde a impactos cuya importancia es moderada. </t>
  </si>
  <si>
    <t xml:space="preserve">Un valor de importancia entre -30 y -44 corresponde a impactos cuya importancia es severa. </t>
  </si>
  <si>
    <t>Un valor de importancia mayor a -45 corresponde a impactos cuya importancia es crítica.</t>
  </si>
  <si>
    <t xml:space="preserve">Los impactos benéficos (signo +) se identificaron en color azul independientemente de su importancia. </t>
  </si>
  <si>
    <t>Una vez desarrollada la ecuación para cada actividad y el respectivo componente ambiental "afectado", se calcula la importancia, de acuerdo con los valores obtenidos y la clasificación dada de acuerdo al Cuadro No. 4.4 se presenta el Resumen de Impactos Ambientales  y se describe cuales son los controles aplicados para su mitigacion  control, eliminacion y demas.</t>
  </si>
  <si>
    <t xml:space="preserve">MATRIZ DE IDENTIFICACION DE IMPACTOS AMBIENTALES </t>
  </si>
  <si>
    <t>2. IDENTIFICACION ACTIVIDADES</t>
  </si>
  <si>
    <t>MATRIZ IDENTIFICACION EVALUACION DE UN PROYECTO</t>
  </si>
  <si>
    <t xml:space="preserve">MATRIZ IDENTIFICACION EVALUACION Y CONTROL ASPECTOS  E IMPACTOS </t>
  </si>
  <si>
    <t>COMPONENTE</t>
  </si>
  <si>
    <t>CONCLUSION</t>
  </si>
  <si>
    <t>Impactos</t>
  </si>
  <si>
    <t>actividades</t>
  </si>
  <si>
    <t xml:space="preserve"> Actividades</t>
  </si>
  <si>
    <t>Físico</t>
  </si>
  <si>
    <t>Se identificaron 6 impactos en el componente físico (18 actividades irrelevantes). Siendo la más irrelevante la presión sobre los recursos naturales.</t>
  </si>
  <si>
    <t>Biótico</t>
  </si>
  <si>
    <t>No se identificaron impactos y/o actividades que afectaran dicho componente</t>
  </si>
  <si>
    <t>Beneficiosas</t>
  </si>
  <si>
    <t>Socioeconómico y Cultural</t>
  </si>
  <si>
    <t>Se identificaron 6 impactos en el componente Socioeconómico y cultural (6 actividades irrelevantes). Siendo la más irrelevante los cambios en la salud de los trabajadores.</t>
  </si>
  <si>
    <t xml:space="preserve"> </t>
  </si>
  <si>
    <t>Otros(Páginas monetizadas)</t>
  </si>
  <si>
    <t>Intangibles (Dias)</t>
  </si>
  <si>
    <t>ESTUDIO LEGAL DEL PROYECTO</t>
  </si>
  <si>
    <t>Tipo de sociedad:</t>
  </si>
  <si>
    <t>OTROS GASTOS OPERATIVOS</t>
  </si>
  <si>
    <t>ESTUDIO TECNICO DEL PROYECTO</t>
  </si>
  <si>
    <r>
      <rPr>
        <b/>
        <sz val="11"/>
        <color theme="1"/>
        <rFont val="Calibri Light"/>
        <family val="2"/>
        <scheme val="major"/>
      </rPr>
      <t xml:space="preserve">Medios y costos de transporte: </t>
    </r>
    <r>
      <rPr>
        <sz val="11"/>
        <color theme="1"/>
        <rFont val="Calibri Light"/>
        <family val="2"/>
        <scheme val="major"/>
      </rPr>
      <t>cercania a locaciones, insumos, facilidad de de desplazamiento de un lugar a otro.</t>
    </r>
  </si>
  <si>
    <r>
      <rPr>
        <b/>
        <sz val="11"/>
        <color theme="1"/>
        <rFont val="Calibri Light"/>
        <family val="2"/>
        <scheme val="major"/>
      </rPr>
      <t>Disponibilidad y costo de mano de obra:</t>
    </r>
    <r>
      <rPr>
        <sz val="11"/>
        <color theme="1"/>
        <rFont val="Calibri Light"/>
        <family val="2"/>
        <scheme val="major"/>
      </rPr>
      <t xml:space="preserve"> fácil acceso a la mano de obra, variedad de alternativas de remuneraciones para la mano de obra.</t>
    </r>
  </si>
  <si>
    <r>
      <rPr>
        <b/>
        <sz val="11"/>
        <color theme="1"/>
        <rFont val="Calibri Light"/>
        <family val="2"/>
        <scheme val="major"/>
      </rPr>
      <t xml:space="preserve">Población flexible: </t>
    </r>
    <r>
      <rPr>
        <sz val="11"/>
        <color theme="1"/>
        <rFont val="Calibri Light"/>
        <family val="2"/>
        <scheme val="major"/>
      </rPr>
      <t>La población del Muncipio de Popayán se presta para la participación en los retos, videos, bromas, concursos y demás lineas de contenido que los influencers práctican.</t>
    </r>
  </si>
  <si>
    <r>
      <rPr>
        <b/>
        <sz val="11"/>
        <color theme="1"/>
        <rFont val="Calibri Light"/>
        <family val="2"/>
        <scheme val="major"/>
      </rPr>
      <t xml:space="preserve">Distribución orgánica del contenido: </t>
    </r>
    <r>
      <rPr>
        <sz val="11"/>
        <color theme="1"/>
        <rFont val="Calibri Light"/>
        <family val="2"/>
        <scheme val="major"/>
      </rPr>
      <t>Al Popayán ser una ciudad pequeña hace que la gente se conozca, esto permite que cuando se publica un video se haga una distribución inicial muy organica ya que un familiar o conocido participa en dicho video.</t>
    </r>
  </si>
  <si>
    <r>
      <t xml:space="preserve">Mercado virgen: </t>
    </r>
    <r>
      <rPr>
        <sz val="11"/>
        <color theme="1"/>
        <rFont val="Calibri Light"/>
        <family val="2"/>
        <scheme val="major"/>
      </rPr>
      <t>Popayán tiene una cultura muy conservadora, esto permite que el mercado sea virgen, no hay una competencia fuerte en el ámbito de influenciadores o creadores de contenido.</t>
    </r>
  </si>
  <si>
    <t>PROCESO DE TRABAJO</t>
  </si>
  <si>
    <t>FACTORES QUE DETERMIAN LA DECISIÓN DE LOCALIZACIÓN DEL PROYECTO</t>
  </si>
  <si>
    <t>Sociedad Limitada</t>
  </si>
  <si>
    <t>Sociedad Anonima</t>
  </si>
  <si>
    <t>Empresa Unipersonal</t>
  </si>
  <si>
    <t>Sociedad Colectiva</t>
  </si>
  <si>
    <t>Empresa Asociativa de Trabajo</t>
  </si>
  <si>
    <t>Sociedad por Acciones Simplificada</t>
  </si>
  <si>
    <t>Estatutos</t>
  </si>
  <si>
    <t>Formalización:</t>
  </si>
  <si>
    <t>Escritura Pública</t>
  </si>
  <si>
    <t>Acta de Constitución</t>
  </si>
  <si>
    <t>Recursos:</t>
  </si>
  <si>
    <t>Privados</t>
  </si>
  <si>
    <t>Públicos</t>
  </si>
  <si>
    <t>Mixto</t>
  </si>
  <si>
    <t>CONSTITUCIÓN DEL PROYECTO</t>
  </si>
  <si>
    <t>Fijo</t>
  </si>
  <si>
    <t>Prestación de servicios</t>
  </si>
  <si>
    <t>Indefinido</t>
  </si>
  <si>
    <t>Tipo de Contratos:</t>
  </si>
  <si>
    <t>Cantidad de socios</t>
  </si>
  <si>
    <t>Responsables de Iva</t>
  </si>
  <si>
    <t xml:space="preserve">No responsables del IVA </t>
  </si>
  <si>
    <t>Contribuyentes declarantes del impuesto sobre la renta</t>
  </si>
  <si>
    <t>Responsabilidad Fiscal:</t>
  </si>
  <si>
    <t>Nombre Comercial:</t>
  </si>
  <si>
    <t>Razón Social:</t>
  </si>
  <si>
    <t>Actividades Económicas</t>
  </si>
  <si>
    <t>Contacto:</t>
  </si>
  <si>
    <t>Dirección de domicilio principal:</t>
  </si>
  <si>
    <t>Municipio:</t>
  </si>
  <si>
    <t>Barrio:</t>
  </si>
  <si>
    <t>correo electrónico:</t>
  </si>
  <si>
    <t>Principal:</t>
  </si>
  <si>
    <t>Secundaria:</t>
  </si>
  <si>
    <t>Otras actividades:</t>
  </si>
  <si>
    <t>Código:</t>
  </si>
  <si>
    <t>Nombre de la actividad:</t>
  </si>
  <si>
    <t>Vigencia:</t>
  </si>
  <si>
    <t>Objeto Social:</t>
  </si>
  <si>
    <t>CERTIFICA CAPITAL</t>
  </si>
  <si>
    <t>TIPO DE CAPITAL</t>
  </si>
  <si>
    <t>CAPITAL AUTORIZADO</t>
  </si>
  <si>
    <t>CAPITAL SUSCRITO</t>
  </si>
  <si>
    <t>CAPITAL PAGADO</t>
  </si>
  <si>
    <t>REPRESENTANTE LEGAL</t>
  </si>
  <si>
    <t>CARGO:</t>
  </si>
  <si>
    <t>NOMBRE:</t>
  </si>
  <si>
    <t>IDENTIFICACION:</t>
  </si>
  <si>
    <t>FACULTADES Y LIMITACIONES:</t>
  </si>
  <si>
    <t>TAMAÑO DE EMPRESA:</t>
  </si>
  <si>
    <t>Tipo de contribuyente:</t>
  </si>
  <si>
    <t>Persona Jurídica</t>
  </si>
  <si>
    <t>Persona Natural</t>
  </si>
  <si>
    <t>Número de establecimientos:</t>
  </si>
  <si>
    <t>Responsabilidades, Calidades y atributos:</t>
  </si>
  <si>
    <t>Composición del Capital</t>
  </si>
  <si>
    <t>Nacional</t>
  </si>
  <si>
    <t>Extranjero</t>
  </si>
  <si>
    <t>Privado:</t>
  </si>
  <si>
    <t>Público:</t>
  </si>
  <si>
    <t>Entidad de vigilancia y control:</t>
  </si>
  <si>
    <t>Compañía Digital Xparta Entertainment SAS</t>
  </si>
  <si>
    <t>Xparta SAS</t>
  </si>
  <si>
    <t>Calle 3N # 10-04</t>
  </si>
  <si>
    <t>Modelo</t>
  </si>
  <si>
    <t>Valor</t>
  </si>
  <si>
    <t>Acciones</t>
  </si>
  <si>
    <t>Valor Mensual</t>
  </si>
  <si>
    <t>Popayán</t>
  </si>
  <si>
    <t>comercial@xpartaentertainment.com</t>
  </si>
  <si>
    <t>R9004</t>
  </si>
  <si>
    <t>Creación Audiovisual</t>
  </si>
  <si>
    <t>R9002</t>
  </si>
  <si>
    <t>Creación Musical</t>
  </si>
  <si>
    <t>J5911</t>
  </si>
  <si>
    <t>Actividades de producción De películas cinematográficas, videos, programas, anuncios Y comerciales de televisión</t>
  </si>
  <si>
    <t>LA SOCIEDAD TENDRÁ COMO OBJETO PRINCIPAL LA CREACIÓN DEL ENTRETENIMIENTO DIGITAL, PERIÓDICAMENTE SE DICTARÁ UNA CAPACITACIÓN EN ESTRATEGIAS PARA MONETIZAR LAS REDES SOCIALES, COMPRA, VENTA Y CREACIÓN DE FAN PAGE (PÁGINAS DE FACEBOOK), SEMINARIOS PARA LA CAPACITACIÓN SOBRE CREACIÓN DE CONTENIDO AUDIOVISUAL Y MULTIMEDIA, ASESORÍA DE CAMPAÑAS PUBLICITARIAS EN REDES SOCIALES, MARKETING DIGITAL Y ESTRATEGIAS DE VENTA DE PRODUCTOS TANGIBLES E INTANGIBLES, CREACIÓN DE CONTENIDO AUDIOVISUAL Y MULTIMEDIA Y REPRESENTACIÓN DE ARTISTAS. ASÍ MISMO, ESTA SOCIEDAD PODRÁ REALIZAR EN GENERAL, TODAS LAS OPERACIONES, DE CUALQUIER NATURALEZA EN RELACIÓN CON EL OBJETO MENCIONADO, ASÍ COMO CUALQUIER ACTIVIDAD SIMILAR, CONEXA, COMPLEMENTARIA QUE PERMITAN FACILITAR O DESARROLLAR EL OBJETO COMERCIAL DE LA SOCIEDAD. DE IGUAL MANERA LA SOCIEDAD PODRÁ REALIZAR CUALQUIER ACTIVIDAD ECONÓMICA, CIVIL O COMERCIAL LÍCITA.</t>
  </si>
  <si>
    <t>GERENTE</t>
  </si>
  <si>
    <t>Yulian Eduardo Rosales Viveros</t>
  </si>
  <si>
    <t>ÓRGANOS DE LA SOCIEDAD. LA SOCIEDAD TENDRÁ UN ÓRGANO DE DIRECCIÓN: REPRESENTANTE LEGAL Y UN REPRESENTANTE LEGAL SUPLENTE. FACULTADES DEL REPRESENTANTE LEGAL. EL REPRESENTANTE LEGAL ESTÁ FACULTADO PARA EJECUTAR, A NOMBRE DE LA SOCIEDAD, TODOS LOS ACTOS Y CONTRATOS RELACIONADOS DIRECTAMENTE CON EL OBJETO DE LA SOCIEDAD, O QUE SE RELACIONEN DIRECTAMENTE CON LA EXISTENCIA Y EL FUNCIONAMIENTO DE LA SOCIEDAD, CON EL LÍMITE DE HASTA VEINTE CINCO (25) SALARIOS MÍNIMOS LEGALES MENSUALES VIGENTES, Y PARA EL MANEJO DE CUANTÍAS SUPERIORES ' DEBERÁ EXISTIR DECISIÓN PREVIA DE ASAMBLEA DE ACCIONISTA. SERÁN FUNCIONES ESPECÍFICAS DEL CARGO, LAS SIGUIENTES: A) CONSTITUIR, PARA PROPÓSITOS CONCRETOS, LOS APODERADOS ESPECIALES QUE CONSIDERE NECESARIOS PARA REPRESENTAR JUDICIAL O EXTRAJUDICIALMENTE A IA SOCIEDAD. B) CUIDAR DE LA RECAUDACIÓN E INVERSIÓN DE LOS FONDOS SOCIALES. C) ORGANIZAR ADECUADAMENTE LOS SISTEMAS REQUERIDOS PARA LA CONTABILIZACIÓN, PAGOS Y DEMÁS OPERACIONES DE LA SOCIEDAD. D) VELAR POR EL CUMPLIMIENTO OPORTUNO DE TODAS LAS OBLIGACIONES DE LA SOCIEDAD EN MATERIA IMPOSITIVA. E) CERTIFICAR CONJUNTAMENTE CON EL CONTADOR DE LA COMPAÑÍA LOS ESTADOS FINANCIEROS EN EL CASO DE SER DICHA CERTIFICACIÓN EXIGIDA POR LAS NORMAS LEGALES. F) DESIGNAR LAS PERSONAS QUE VAN A PRESTAR SERVICIOS A LA SOCIEDAD Y PARA EL EFECTO CELEBRAR LOS CONTRATOS QUE DE ACUERDO CON LAS CIRCUNSTANCIAS SEAN CONVENIENTES; ADEMÁS, FIJARÁ LAS REMUNERACIONES CORRESPONDIENTES, DENTRO DE LOS LÍMITES ESTABLECIDOS EN EL PRESUPUESTO ANUAL DE INGRESOS Y EGRESOS. G) CELEBRAR LOS ACTOS Y CONTRATOS COMPRENDIDOS EN EL OBJETO SOCIAL DE LA COMPAÑÍA Y NECESARIOS PARA QUE ESTA DESARROLLE PLENAMENTE LOS FINES PARA LOS CUALES HA SIDO CONSTITUIDA. H) CUMPLIR LAS DEMÁS FUNCIONES QUE LE CORRESPONDAN SEGÚN LO PREVISTO EN LAS NORMAS LEGALES Y EN ESTOS ESTATUTOS. ASÍ MISMO EL REPRESENTANTE LEGAL SE ENTENDERÁ FACULTADO PARA ACTUAR EN TODAS LAS CIRCUNSTANCIAS EN NOMBRE DE LA SOCIEDAD, CON EXCEPCIÓN DE AQUELLAS FACULTADES QUE, DE ACUERDO CON LOS ESTATUTOS, SE HUBIEREN RESERVADO LOS ACCIONISTAS. EN LAS RELACIONES FRENTE A TERCEROS, IA SOCIEDAD QUEDARÁ OBLIGADA POR LOS ACTOS Y CONTRATOS CELEBRADOS POR EL REPRESENTANTE LEGAL. LE ESTÁ PROHIBIDO AL REPRESENTANTE LEGAL Y A LOS DEMÁS ADMINISTRADORES DE LA SOCIEDAD, POR SI O POR INTERPUESTA PERSONA, OBTENER BAJO CUALQUIER FORMA O MODALIDAD JURÍDICA PRÉSTAMOS POR PARTE DE LA SOCIEDAD U OBTENER DE PARTE DE LA SOCIEDAD AVAL, FIANZA O CUALQUIER OTRO TIPO DE GARANTÍA DE SUS OBLIGACIONES PERSONALES.</t>
  </si>
  <si>
    <t>De conformidad con lo previsto en el artículo 2.2.1.13.2.1 del Decreto 1074 de 2015 y la Resolución 2225 de 2019 del DANE el tamaño de la empresa es MICRO EMPRESA.                                                                                                                               Lo anterior de acuerdo a la información reportada por el matriculado o inscrito en elformulario RUES:
Ingresos por actividad ordinaria : $468,590,051
Actividad económica por la que percibió mayores ingresos en el periodo - CIIU : J5911</t>
  </si>
  <si>
    <t>05- Impto. renta y compl. régimen ordinario                                                                                                                                                                                                                                                                                                                                                                                                                                                                                                                                                                   07- Retención en la fuente a título de renta                                                                                                                                                                                                                                                                                                                                                                                                                                                                                                                                                                          14- Informante de exogena                                                                                                                                                                                                                                                                                                                                                                                                                                                                                                                                                                                                             42- Obligado a llevar contabilidad                                                                                                                                                                                                                                                                                                                                                                                                                                                                                                                                                                                          48 - Impuesto sobre las ventas - IVA                                                                                                                                                                                                                                                                                                                                                                                                                                                                                                                                                                             52 - Facturador electrónico</t>
  </si>
  <si>
    <t>Superintendencia de Sociedades</t>
  </si>
  <si>
    <t>Efectivo y equivalente al efectivo</t>
  </si>
  <si>
    <t>Provisión de cartera</t>
  </si>
  <si>
    <t>Activos Corrientes</t>
  </si>
  <si>
    <t xml:space="preserve">Activos  </t>
  </si>
  <si>
    <t>Depreciación</t>
  </si>
  <si>
    <t>Activos no corrientes</t>
  </si>
  <si>
    <t>Activos Totales</t>
  </si>
  <si>
    <t>Propiedad, planta y equipo</t>
  </si>
  <si>
    <t>Intangibles</t>
  </si>
  <si>
    <t>Pasivos</t>
  </si>
  <si>
    <t>Corrientes</t>
  </si>
  <si>
    <t>Impuestos por pagar</t>
  </si>
  <si>
    <t xml:space="preserve">Total Pasivos </t>
  </si>
  <si>
    <t>Patrimonio</t>
  </si>
  <si>
    <t>Aportes sociales</t>
  </si>
  <si>
    <t>Resultados del ejercicio</t>
  </si>
  <si>
    <t>Total Pasivo más Patrimonio</t>
  </si>
  <si>
    <t>Total Patrimonio</t>
  </si>
  <si>
    <t>BALANCE GENERAL PROYECTADO</t>
  </si>
  <si>
    <t>Balance de Apertura (ESFA)</t>
  </si>
  <si>
    <t>Índice de Rentabilidad</t>
  </si>
  <si>
    <t>VAN=</t>
  </si>
  <si>
    <t>Índice de sensibilidad</t>
  </si>
  <si>
    <t>Proceso</t>
  </si>
  <si>
    <t>Objetivo</t>
  </si>
  <si>
    <t>Responsable</t>
  </si>
  <si>
    <t>Gestión Financiera</t>
  </si>
  <si>
    <t>Garantizar la disponibilidad del recurso para la ejecución de las operaciones de la entidad. Suministrar la información estratégica financiera requerida para la toma
de decisiones. Llevar la información contable de acuerdo a las normas contables vigentes.</t>
  </si>
  <si>
    <t>Riesgo</t>
  </si>
  <si>
    <t>Posibilidad</t>
  </si>
  <si>
    <t>Impacto</t>
  </si>
  <si>
    <t>Evaluación del riesgo</t>
  </si>
  <si>
    <t>Control</t>
  </si>
  <si>
    <t>¿Que controla?</t>
  </si>
  <si>
    <t>Errores en la liquidación del impuesto en la
elaboración de la factura.</t>
  </si>
  <si>
    <t>Errores en la liquidación del impuesto en la
contabilización de la factura.</t>
  </si>
  <si>
    <t>Verificación de los requisitos de la ley para la facturación, cuenta de
cobro y sus soportes.</t>
  </si>
  <si>
    <t>Auditoria de Revisoría Fiscal</t>
  </si>
  <si>
    <t>Verificación de la causación por el auxiliar contable y una segunda instancia por el contador.</t>
  </si>
  <si>
    <t>Incumplimientos de las normas internacionales y
razonabilidad de la información contable y financiera</t>
  </si>
  <si>
    <t>Errores humanos en la liquidación de impuestos. Caida constante de la plataforma.</t>
  </si>
  <si>
    <t>Descuidos con los documentos soportes.           Mucha carga laboral.                                                                        No hay una delegación de trabajo o funciones.     No hay un jefe que delege responsabilidades.</t>
  </si>
  <si>
    <t xml:space="preserve">Planear de acuerdo al (Presupuesto Anual de Trabajo) PAT y actividades de funcionamiento. Revisión del presupuesto por parte del área contable.                                                                                  Revisión y aprobación de presupuesto por Junta directiva, Socios, Directores o Gerente. </t>
  </si>
  <si>
    <t>Gastos que no estén orientados al cumplimiento del objeto misional.</t>
  </si>
  <si>
    <t>Raro</t>
  </si>
  <si>
    <t>Menor</t>
  </si>
  <si>
    <t>Bajo</t>
  </si>
  <si>
    <t>Insignificante</t>
  </si>
  <si>
    <t xml:space="preserve">Raro </t>
  </si>
  <si>
    <t>Moderado</t>
  </si>
  <si>
    <t>Alta</t>
  </si>
  <si>
    <t>Mayor</t>
  </si>
  <si>
    <t>Registros y pagos de facturas sin los requisitos exigidos en las normas y leyes vigentes contables. Falta de control interno del área de tesoreria o contable en base a los documentos equivalentes, cuentas de cobro y facturas.</t>
  </si>
  <si>
    <t>Mala practica en la contabilización de factura o
cuentas de cobro de proveedores, que no
cumplan con los requisitos de ley.</t>
  </si>
  <si>
    <t>La facturación se realiza a través de la herramienta gratuita de la DIAN.</t>
  </si>
  <si>
    <t>Errores humanos en el registro contable de la factura.</t>
  </si>
  <si>
    <t>Errores humanos en el registro contable de la factura, mucha rotación de personal en el área contable.</t>
  </si>
  <si>
    <t>Causación doble de una factura o cuenta de cobro.</t>
  </si>
  <si>
    <t>SIIgo controla la duplicidad en la numeración de la factura.</t>
  </si>
  <si>
    <t>Perdida de las facturas y cuentas de cobros.</t>
  </si>
  <si>
    <t>Gestión en el archivo de cuentas por pagar. Propender realizar una auditoria constante en el archivo.</t>
  </si>
  <si>
    <t>Fraude en la información contable.</t>
  </si>
  <si>
    <t>Desagregación de funciones.</t>
  </si>
  <si>
    <t>Auditorias de revisoría fiscal.</t>
  </si>
  <si>
    <t>Falta de valores y debilidad en los controles y
seguimientos.</t>
  </si>
  <si>
    <t>Información contable y financiera fraudulenta o sin la confianza razonable.</t>
  </si>
  <si>
    <t>Ausencia de variables estratégicas en la definición
del presupuesto.</t>
  </si>
  <si>
    <t>Area Contable o Financiera</t>
  </si>
  <si>
    <t>MATRIZ DE RIESGOS FINANCIEROS DEL PROYECTO</t>
  </si>
  <si>
    <t>Este indice de rentabilidad nos indica que estamos ganando un 1,59 veces lo invertido</t>
  </si>
  <si>
    <t>veces</t>
  </si>
  <si>
    <t>El análisis de sensibilidad nos permite como empresa a pronosticar el éxito o fracaso de un proyecto utilizando datos confiables y certeros. Al estudiar todas las variables y los posibles resultados, los directores de proyectos pueden me tomar mejores decisiones respecto al proyecto, el negocio o las inversiones. En este caso, podemos afirmar que, debido a la inversión realizada, se produce un cambio en las ventas que trae consigo un incremento del VAN de un 4,68%, por lo que esta novedad puede resultar eficaz.</t>
  </si>
  <si>
    <t>El indicador de valor neto actual (VNA)nos indica que al ser un resultado positivo mayor que cero (0) nos brinda el criterio de inversión que consiste en actualizar los cobros y pagos de un proyecto o inversión para conocer cuanto se va a ganar o perder con esa inversión.</t>
  </si>
  <si>
    <t>SINERGIA</t>
  </si>
  <si>
    <t>ACUMULACIÓN</t>
  </si>
  <si>
    <t xml:space="preserve">VER. No. 1                                                                                                                                                                                                                                                                                                                              29/09/2026                                                                                                                                                                                                                                                                                                                                   </t>
  </si>
  <si>
    <t xml:space="preserve">VER. No. 1                                                                                                                                                                                                                                                                                                                              29/09/2026                                                                                                                                                                                                                                                                                                                                     </t>
  </si>
  <si>
    <t xml:space="preserve">VER. No. 1                                                                                                                                                                                                                                                                                                                              29/09/2026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</si>
</sst>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8" formatCode="&quot;$&quot;\ #,##0.00;[Red]\-&quot;$&quot;\ #,##0.00"/>
    <numFmt numFmtId="41" formatCode="_-* #,##0_-;\-* #,##0_-;_-* &quot;-&quot;_-;_-@_-"/>
    <numFmt numFmtId="44" formatCode="_-&quot;$&quot;\ * #,##0.00_-;\-&quot;$&quot;\ * #,##0.00_-;_-&quot;$&quot;\ * &quot;-&quot;??_-;_-@_-"/>
    <numFmt numFmtId="43" formatCode="_-* #,##0.00_-;\-* #,##0.00_-;_-* &quot;-&quot;??_-;_-@_-"/>
    <numFmt numFmtId="164" formatCode="&quot;$&quot;\ #,##0.00_);[Red]\(&quot;$&quot;\ #,##0.00\)"/>
    <numFmt numFmtId="165" formatCode="_(* #,##0_);_(* \(#,##0\);_(* &quot;-&quot;_);_(@_)"/>
    <numFmt numFmtId="166" formatCode="_(&quot;$&quot;\ * #,##0.00_);_(&quot;$&quot;\ * \(#,##0.00\);_(&quot;$&quot;\ * &quot;-&quot;??_);_(@_)"/>
    <numFmt numFmtId="167" formatCode="_(* #,##0.00_);_(* \(#,##0.00\);_(* &quot;-&quot;??_);_(@_)"/>
    <numFmt numFmtId="168" formatCode="&quot;$&quot;#,##0;[Red]\-&quot;$&quot;#,##0"/>
    <numFmt numFmtId="169" formatCode="_-&quot;$&quot;* #,##0_-;\-&quot;$&quot;* #,##0_-;_-&quot;$&quot;* &quot;-&quot;_-;_-@_-"/>
    <numFmt numFmtId="170" formatCode="_-&quot;$&quot;* #,##0.00_-;\-&quot;$&quot;* #,##0.00_-;_-&quot;$&quot;* &quot;-&quot;??_-;_-@_-"/>
    <numFmt numFmtId="171" formatCode="_-&quot;$&quot;* #,##0_-;\-&quot;$&quot;* #,##0_-;_-&quot;$&quot;* &quot;-&quot;??_-;_-@_-"/>
    <numFmt numFmtId="172" formatCode="_-[$$-240A]\ * #,##0_-;\-[$$-240A]\ * #,##0_-;_-[$$-240A]\ * &quot;-&quot;??_-;_-@_-"/>
    <numFmt numFmtId="173" formatCode="_-&quot;$&quot;\ * #,##0_-;\-&quot;$&quot;\ * #,##0_-;_-&quot;$&quot;\ * &quot;-&quot;??_-;_-@_-"/>
    <numFmt numFmtId="174" formatCode="_-* #,##0_-;\-* #,##0_-;_-* &quot;-&quot;??_-;_-@_-"/>
  </numFmts>
  <fonts count="5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2"/>
      <color theme="1"/>
      <name val="Verdana"/>
      <family val="2"/>
    </font>
    <font>
      <sz val="11"/>
      <color rgb="FF0000FF"/>
      <name val="Calibri"/>
      <family val="2"/>
      <scheme val="minor"/>
    </font>
    <font>
      <sz val="11"/>
      <name val="Calibri"/>
      <family val="2"/>
      <scheme val="minor"/>
    </font>
    <font>
      <b/>
      <sz val="11"/>
      <name val="Calibri"/>
      <family val="2"/>
      <scheme val="minor"/>
    </font>
    <font>
      <sz val="11"/>
      <color rgb="FF0E2FBA"/>
      <name val="Calibri"/>
      <family val="2"/>
      <scheme val="minor"/>
    </font>
    <font>
      <i/>
      <sz val="11"/>
      <color theme="1"/>
      <name val="Calibri"/>
      <family val="2"/>
      <scheme val="minor"/>
    </font>
    <font>
      <sz val="10"/>
      <name val="Arial"/>
      <family val="2"/>
    </font>
    <font>
      <b/>
      <sz val="11"/>
      <color indexed="43"/>
      <name val="Calibri"/>
      <family val="2"/>
      <scheme val="minor"/>
    </font>
    <font>
      <b/>
      <sz val="11"/>
      <color indexed="9"/>
      <name val="Calibri"/>
      <family val="2"/>
      <scheme val="minor"/>
    </font>
    <font>
      <sz val="11"/>
      <color indexed="12"/>
      <name val="Calibri"/>
      <family val="2"/>
      <scheme val="minor"/>
    </font>
    <font>
      <sz val="9"/>
      <color indexed="81"/>
      <name val="Tahoma"/>
      <family val="2"/>
    </font>
    <font>
      <b/>
      <sz val="9"/>
      <color indexed="81"/>
      <name val="Tahoma"/>
      <family val="2"/>
    </font>
    <font>
      <sz val="8"/>
      <color theme="2" tint="-0.249977111117893"/>
      <name val="Calibri"/>
      <family val="2"/>
      <scheme val="minor"/>
    </font>
    <font>
      <sz val="9"/>
      <color theme="2" tint="-0.249977111117893"/>
      <name val="Calibri"/>
      <family val="2"/>
      <scheme val="minor"/>
    </font>
    <font>
      <sz val="11"/>
      <color theme="1"/>
      <name val="Trebuchet MS"/>
      <family val="2"/>
    </font>
    <font>
      <b/>
      <sz val="11"/>
      <color theme="1"/>
      <name val="Trebuchet MS"/>
      <family val="2"/>
    </font>
    <font>
      <b/>
      <sz val="12"/>
      <color theme="0"/>
      <name val="Calibri"/>
      <family val="2"/>
      <scheme val="minor"/>
    </font>
    <font>
      <sz val="11"/>
      <color theme="0" tint="-0.249977111117893"/>
      <name val="Calibri"/>
      <family val="2"/>
      <scheme val="minor"/>
    </font>
    <font>
      <b/>
      <sz val="11"/>
      <color theme="0" tint="-0.249977111117893"/>
      <name val="Calibri"/>
      <family val="2"/>
      <scheme val="minor"/>
    </font>
    <font>
      <sz val="11"/>
      <color theme="1"/>
      <name val="Calibri Light"/>
      <family val="2"/>
      <scheme val="major"/>
    </font>
    <font>
      <b/>
      <sz val="11"/>
      <color theme="1"/>
      <name val="Calibri Light"/>
      <family val="2"/>
      <scheme val="major"/>
    </font>
    <font>
      <sz val="11"/>
      <color theme="0"/>
      <name val="Calibri"/>
      <family val="2"/>
      <scheme val="minor"/>
    </font>
    <font>
      <b/>
      <sz val="18"/>
      <color theme="0"/>
      <name val="Calibri"/>
      <family val="2"/>
      <scheme val="minor"/>
    </font>
    <font>
      <b/>
      <sz val="8"/>
      <color indexed="81"/>
      <name val="Tahoma"/>
      <family val="2"/>
    </font>
    <font>
      <sz val="8"/>
      <color indexed="81"/>
      <name val="Tahoma"/>
      <family val="2"/>
    </font>
    <font>
      <sz val="11"/>
      <color theme="1"/>
      <name val="Arial"/>
      <family val="2"/>
    </font>
    <font>
      <b/>
      <sz val="18"/>
      <color theme="1"/>
      <name val="Arial"/>
      <family val="2"/>
    </font>
    <font>
      <b/>
      <sz val="8"/>
      <color theme="1"/>
      <name val="Arial"/>
      <family val="2"/>
    </font>
    <font>
      <b/>
      <sz val="14"/>
      <color theme="1"/>
      <name val="Arial"/>
      <family val="2"/>
    </font>
    <font>
      <b/>
      <sz val="12"/>
      <color theme="1"/>
      <name val="Arial"/>
      <family val="2"/>
    </font>
    <font>
      <b/>
      <sz val="16"/>
      <color theme="1"/>
      <name val="Arial"/>
      <family val="2"/>
    </font>
    <font>
      <b/>
      <sz val="10"/>
      <color theme="1"/>
      <name val="Arial"/>
      <family val="2"/>
    </font>
    <font>
      <b/>
      <sz val="11"/>
      <color theme="1"/>
      <name val="Arial"/>
      <family val="2"/>
    </font>
    <font>
      <b/>
      <sz val="9"/>
      <color theme="1"/>
      <name val="Arial"/>
      <family val="2"/>
    </font>
    <font>
      <sz val="9"/>
      <color theme="1"/>
      <name val="Arial"/>
      <family val="2"/>
    </font>
    <font>
      <sz val="10"/>
      <color theme="1"/>
      <name val="Arial"/>
      <family val="2"/>
    </font>
    <font>
      <sz val="16"/>
      <color theme="1"/>
      <name val="Arial"/>
      <family val="2"/>
    </font>
    <font>
      <b/>
      <sz val="16"/>
      <color theme="1"/>
      <name val="Calibri"/>
      <family val="2"/>
      <scheme val="minor"/>
    </font>
    <font>
      <b/>
      <sz val="12"/>
      <color theme="1"/>
      <name val="Calibri"/>
      <family val="2"/>
      <scheme val="minor"/>
    </font>
    <font>
      <b/>
      <sz val="10"/>
      <color theme="1"/>
      <name val="Calibri"/>
      <family val="2"/>
      <scheme val="minor"/>
    </font>
    <font>
      <b/>
      <sz val="12"/>
      <color rgb="FF000000"/>
      <name val="Calibri"/>
      <family val="2"/>
      <scheme val="minor"/>
    </font>
    <font>
      <sz val="11"/>
      <color rgb="FF000000"/>
      <name val="Arial"/>
      <family val="2"/>
    </font>
    <font>
      <b/>
      <sz val="11"/>
      <color rgb="FF000000"/>
      <name val="Arial"/>
      <family val="2"/>
    </font>
    <font>
      <sz val="8"/>
      <color theme="1"/>
      <name val="Arial"/>
      <family val="2"/>
    </font>
    <font>
      <sz val="8"/>
      <color rgb="FF000000"/>
      <name val="Arial"/>
      <family val="2"/>
    </font>
    <font>
      <sz val="11"/>
      <color theme="0"/>
      <name val="Trebuchet MS"/>
      <family val="2"/>
    </font>
    <font>
      <b/>
      <sz val="11"/>
      <color rgb="FF002060"/>
      <name val="Calibri"/>
      <family val="2"/>
      <scheme val="minor"/>
    </font>
    <font>
      <b/>
      <sz val="14"/>
      <color theme="1"/>
      <name val="Calibri Light"/>
      <family val="2"/>
      <scheme val="major"/>
    </font>
    <font>
      <u/>
      <sz val="11"/>
      <color theme="10"/>
      <name val="Calibri"/>
      <family val="2"/>
      <scheme val="minor"/>
    </font>
    <font>
      <b/>
      <sz val="14"/>
      <color theme="0"/>
      <name val="Calibri Light"/>
      <family val="2"/>
      <scheme val="major"/>
    </font>
    <font>
      <sz val="11"/>
      <color rgb="FF000000"/>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6" tint="0.79998168889431442"/>
        <bgColor indexed="64"/>
      </patternFill>
    </fill>
    <fill>
      <patternFill patternType="solid">
        <fgColor rgb="FF253F49"/>
        <bgColor indexed="64"/>
      </patternFill>
    </fill>
    <fill>
      <patternFill patternType="solid">
        <fgColor theme="7" tint="0.59999389629810485"/>
        <bgColor indexed="64"/>
      </patternFill>
    </fill>
    <fill>
      <patternFill patternType="solid">
        <fgColor indexed="9"/>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5B9BD5"/>
        <bgColor indexed="64"/>
      </patternFill>
    </fill>
    <fill>
      <patternFill patternType="solid">
        <fgColor rgb="FFEDEDED"/>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6"/>
        <bgColor indexed="64"/>
      </patternFill>
    </fill>
  </fills>
  <borders count="118">
    <border>
      <left/>
      <right/>
      <top/>
      <bottom/>
      <diagonal/>
    </border>
    <border>
      <left/>
      <right/>
      <top/>
      <bottom style="thin">
        <color indexed="64"/>
      </bottom>
      <diagonal/>
    </border>
    <border>
      <left/>
      <right/>
      <top/>
      <bottom style="thin">
        <color rgb="FF00EC54"/>
      </bottom>
      <diagonal/>
    </border>
    <border>
      <left/>
      <right/>
      <top/>
      <bottom style="thin">
        <color rgb="FF253F49"/>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top style="thin">
        <color rgb="FF253F49"/>
      </top>
      <bottom style="thin">
        <color rgb="FF253F49"/>
      </bottom>
      <diagonal/>
    </border>
    <border>
      <left style="thin">
        <color rgb="FFEDEDED"/>
      </left>
      <right style="thin">
        <color rgb="FFEDEDED"/>
      </right>
      <top style="thin">
        <color rgb="FF253F49"/>
      </top>
      <bottom style="thin">
        <color theme="0" tint="-0.24994659260841701"/>
      </bottom>
      <diagonal/>
    </border>
    <border>
      <left style="thin">
        <color rgb="FFEDEDED"/>
      </left>
      <right style="thin">
        <color rgb="FFEDEDED"/>
      </right>
      <top style="thin">
        <color theme="0" tint="-0.24994659260841701"/>
      </top>
      <bottom style="thin">
        <color theme="0" tint="-0.24994659260841701"/>
      </bottom>
      <diagonal/>
    </border>
    <border>
      <left/>
      <right/>
      <top style="thin">
        <color rgb="FF253F49"/>
      </top>
      <bottom style="thin">
        <color theme="0" tint="-0.24994659260841701"/>
      </bottom>
      <diagonal/>
    </border>
    <border>
      <left style="thin">
        <color rgb="FFEDEDED"/>
      </left>
      <right/>
      <top style="thin">
        <color rgb="FF253F49"/>
      </top>
      <bottom style="thin">
        <color theme="0" tint="-0.24994659260841701"/>
      </bottom>
      <diagonal/>
    </border>
    <border>
      <left style="thin">
        <color rgb="FFEDEDED"/>
      </left>
      <right/>
      <top style="thin">
        <color theme="0" tint="-0.24994659260841701"/>
      </top>
      <bottom style="thin">
        <color theme="0" tint="-0.24994659260841701"/>
      </bottom>
      <diagonal/>
    </border>
    <border>
      <left/>
      <right style="thin">
        <color rgb="FFEDEDED"/>
      </right>
      <top style="thin">
        <color rgb="FF253F49"/>
      </top>
      <bottom style="thin">
        <color theme="0" tint="-0.24994659260841701"/>
      </bottom>
      <diagonal/>
    </border>
    <border>
      <left/>
      <right style="thin">
        <color rgb="FFEDEDED"/>
      </right>
      <top style="thin">
        <color theme="0" tint="-0.24994659260841701"/>
      </top>
      <bottom style="thin">
        <color theme="0" tint="-0.24994659260841701"/>
      </bottom>
      <diagonal/>
    </border>
    <border>
      <left/>
      <right/>
      <top/>
      <bottom style="thick">
        <color rgb="FF00EC54"/>
      </bottom>
      <diagonal/>
    </border>
    <border>
      <left/>
      <right/>
      <top/>
      <bottom style="thin">
        <color theme="0" tint="-0.24994659260841701"/>
      </bottom>
      <diagonal/>
    </border>
    <border>
      <left style="thin">
        <color theme="0" tint="-0.24994659260841701"/>
      </left>
      <right/>
      <top style="thin">
        <color rgb="FF253F49"/>
      </top>
      <bottom/>
      <diagonal/>
    </border>
    <border>
      <left/>
      <right style="thin">
        <color theme="0" tint="-0.24994659260841701"/>
      </right>
      <top style="thin">
        <color rgb="FF253F49"/>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style="thin">
        <color theme="0" tint="-0.24994659260841701"/>
      </top>
      <bottom style="thin">
        <color rgb="FF253F49"/>
      </bottom>
      <diagonal/>
    </border>
    <border>
      <left/>
      <right/>
      <top style="thin">
        <color rgb="FF253F49"/>
      </top>
      <bottom/>
      <diagonal/>
    </border>
    <border>
      <left/>
      <right/>
      <top style="hair">
        <color rgb="FF253F49"/>
      </top>
      <bottom style="hair">
        <color rgb="FF253F49"/>
      </bottom>
      <diagonal/>
    </border>
    <border>
      <left/>
      <right/>
      <top style="hair">
        <color rgb="FF253F49"/>
      </top>
      <bottom/>
      <diagonal/>
    </border>
    <border>
      <left/>
      <right/>
      <top/>
      <bottom style="hair">
        <color rgb="FF253F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thick">
        <color auto="1"/>
      </right>
      <top/>
      <bottom style="thick">
        <color auto="1"/>
      </bottom>
      <diagonal/>
    </border>
    <border>
      <left style="thick">
        <color auto="1"/>
      </left>
      <right style="thick">
        <color auto="1"/>
      </right>
      <top/>
      <bottom style="thick">
        <color auto="1"/>
      </bottom>
      <diagonal/>
    </border>
    <border>
      <left style="thick">
        <color auto="1"/>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style="medium">
        <color auto="1"/>
      </left>
      <right style="hair">
        <color indexed="64"/>
      </right>
      <top/>
      <bottom style="medium">
        <color auto="1"/>
      </bottom>
      <diagonal/>
    </border>
    <border>
      <left style="hair">
        <color indexed="64"/>
      </left>
      <right style="hair">
        <color indexed="64"/>
      </right>
      <top/>
      <bottom style="medium">
        <color auto="1"/>
      </bottom>
      <diagonal/>
    </border>
    <border>
      <left style="hair">
        <color indexed="64"/>
      </left>
      <right/>
      <top style="medium">
        <color auto="1"/>
      </top>
      <bottom style="medium">
        <color indexed="64"/>
      </bottom>
      <diagonal/>
    </border>
    <border>
      <left style="medium">
        <color auto="1"/>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medium">
        <color auto="1"/>
      </left>
      <right style="hair">
        <color indexed="64"/>
      </right>
      <top style="medium">
        <color auto="1"/>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medium">
        <color auto="1"/>
      </left>
      <right style="thick">
        <color auto="1"/>
      </right>
      <top style="thick">
        <color auto="1"/>
      </top>
      <bottom style="medium">
        <color auto="1"/>
      </bottom>
      <diagonal/>
    </border>
    <border>
      <left style="thick">
        <color auto="1"/>
      </left>
      <right style="thick">
        <color auto="1"/>
      </right>
      <top style="thick">
        <color auto="1"/>
      </top>
      <bottom style="medium">
        <color indexed="64"/>
      </bottom>
      <diagonal/>
    </border>
    <border>
      <left style="thick">
        <color auto="1"/>
      </left>
      <right/>
      <top style="thick">
        <color auto="1"/>
      </top>
      <bottom style="medium">
        <color auto="1"/>
      </bottom>
      <diagonal/>
    </border>
    <border>
      <left style="hair">
        <color indexed="64"/>
      </left>
      <right style="medium">
        <color indexed="64"/>
      </right>
      <top/>
      <bottom style="medium">
        <color auto="1"/>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hair">
        <color indexed="64"/>
      </right>
      <top style="thin">
        <color indexed="64"/>
      </top>
      <bottom/>
      <diagonal/>
    </border>
    <border>
      <left style="medium">
        <color auto="1"/>
      </left>
      <right style="hair">
        <color indexed="64"/>
      </right>
      <top/>
      <bottom/>
      <diagonal/>
    </border>
    <border>
      <left style="medium">
        <color auto="1"/>
      </left>
      <right style="thick">
        <color auto="1"/>
      </right>
      <top style="medium">
        <color auto="1"/>
      </top>
      <bottom/>
      <diagonal/>
    </border>
    <border>
      <left style="thick">
        <color auto="1"/>
      </left>
      <right style="medium">
        <color auto="1"/>
      </right>
      <top style="medium">
        <color auto="1"/>
      </top>
      <bottom/>
      <diagonal/>
    </border>
    <border>
      <left style="medium">
        <color auto="1"/>
      </left>
      <right style="medium">
        <color auto="1"/>
      </right>
      <top style="medium">
        <color auto="1"/>
      </top>
      <bottom style="hair">
        <color auto="1"/>
      </bottom>
      <diagonal/>
    </border>
    <border>
      <left style="medium">
        <color auto="1"/>
      </left>
      <right/>
      <top style="medium">
        <color auto="1"/>
      </top>
      <bottom style="hair">
        <color auto="1"/>
      </bottom>
      <diagonal/>
    </border>
    <border>
      <left style="medium">
        <color indexed="64"/>
      </left>
      <right style="hair">
        <color indexed="64"/>
      </right>
      <top style="medium">
        <color auto="1"/>
      </top>
      <bottom style="hair">
        <color auto="1"/>
      </bottom>
      <diagonal/>
    </border>
    <border>
      <left style="hair">
        <color indexed="64"/>
      </left>
      <right style="hair">
        <color indexed="64"/>
      </right>
      <top style="medium">
        <color auto="1"/>
      </top>
      <bottom style="hair">
        <color auto="1"/>
      </bottom>
      <diagonal/>
    </border>
    <border>
      <left style="hair">
        <color indexed="64"/>
      </left>
      <right style="medium">
        <color indexed="64"/>
      </right>
      <top style="medium">
        <color auto="1"/>
      </top>
      <bottom style="hair">
        <color auto="1"/>
      </bottom>
      <diagonal/>
    </border>
    <border>
      <left style="hair">
        <color indexed="64"/>
      </left>
      <right/>
      <top style="medium">
        <color auto="1"/>
      </top>
      <bottom style="hair">
        <color auto="1"/>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ck">
        <color auto="1"/>
      </right>
      <top/>
      <bottom/>
      <diagonal/>
    </border>
    <border>
      <left style="thick">
        <color auto="1"/>
      </left>
      <right style="medium">
        <color auto="1"/>
      </right>
      <top/>
      <bottom/>
      <diagonal/>
    </border>
    <border>
      <left style="medium">
        <color auto="1"/>
      </left>
      <right style="medium">
        <color auto="1"/>
      </right>
      <top style="hair">
        <color auto="1"/>
      </top>
      <bottom style="medium">
        <color auto="1"/>
      </bottom>
      <diagonal/>
    </border>
    <border>
      <left style="medium">
        <color auto="1"/>
      </left>
      <right/>
      <top style="hair">
        <color auto="1"/>
      </top>
      <bottom style="medium">
        <color auto="1"/>
      </bottom>
      <diagonal/>
    </border>
    <border>
      <left style="medium">
        <color indexed="64"/>
      </left>
      <right style="hair">
        <color indexed="64"/>
      </right>
      <top style="hair">
        <color auto="1"/>
      </top>
      <bottom style="medium">
        <color auto="1"/>
      </bottom>
      <diagonal/>
    </border>
    <border>
      <left style="hair">
        <color indexed="64"/>
      </left>
      <right style="hair">
        <color indexed="64"/>
      </right>
      <top style="hair">
        <color auto="1"/>
      </top>
      <bottom style="medium">
        <color auto="1"/>
      </bottom>
      <diagonal/>
    </border>
    <border>
      <left style="hair">
        <color indexed="64"/>
      </left>
      <right style="medium">
        <color indexed="64"/>
      </right>
      <top style="hair">
        <color auto="1"/>
      </top>
      <bottom style="medium">
        <color auto="1"/>
      </bottom>
      <diagonal/>
    </border>
    <border>
      <left style="hair">
        <color indexed="64"/>
      </left>
      <right/>
      <top style="hair">
        <color auto="1"/>
      </top>
      <bottom style="medium">
        <color auto="1"/>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medium">
        <color auto="1"/>
      </top>
      <bottom/>
      <diagonal/>
    </border>
    <border>
      <left/>
      <right style="hair">
        <color indexed="64"/>
      </right>
      <top style="medium">
        <color auto="1"/>
      </top>
      <bottom style="hair">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indexed="64"/>
      </right>
      <top/>
      <bottom style="thin">
        <color indexed="64"/>
      </bottom>
      <diagonal/>
    </border>
    <border>
      <left style="medium">
        <color auto="1"/>
      </left>
      <right style="medium">
        <color auto="1"/>
      </right>
      <top style="hair">
        <color auto="1"/>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hair">
        <color indexed="64"/>
      </left>
      <right/>
      <top style="hair">
        <color auto="1"/>
      </top>
      <bottom style="hair">
        <color auto="1"/>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top style="thin">
        <color indexed="64"/>
      </top>
      <bottom/>
      <diagonal/>
    </border>
    <border>
      <left/>
      <right style="medium">
        <color auto="1"/>
      </right>
      <top style="thin">
        <color indexed="64"/>
      </top>
      <bottom/>
      <diagonal/>
    </border>
    <border>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style="thin">
        <color rgb="FF253F49"/>
      </top>
      <bottom/>
      <diagonal/>
    </border>
    <border>
      <left/>
      <right style="medium">
        <color indexed="64"/>
      </right>
      <top style="thin">
        <color rgb="FF253F49"/>
      </top>
      <bottom/>
      <diagonal/>
    </border>
  </borders>
  <cellStyleXfs count="15">
    <xf numFmtId="0" fontId="0" fillId="0" borderId="0"/>
    <xf numFmtId="169"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170" fontId="1"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166" fontId="4"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167" fontId="10"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518">
    <xf numFmtId="0" fontId="0" fillId="0" borderId="0" xfId="0"/>
    <xf numFmtId="0" fontId="2" fillId="0" borderId="0" xfId="0" applyFont="1"/>
    <xf numFmtId="169" fontId="0" fillId="0" borderId="0" xfId="1" applyFont="1"/>
    <xf numFmtId="0" fontId="8" fillId="0" borderId="0" xfId="0" applyFont="1" applyAlignment="1">
      <alignment horizontal="center"/>
    </xf>
    <xf numFmtId="171" fontId="8" fillId="0" borderId="0" xfId="4" applyNumberFormat="1" applyFont="1" applyFill="1" applyBorder="1" applyAlignment="1" applyProtection="1">
      <alignment horizontal="center"/>
    </xf>
    <xf numFmtId="2" fontId="2" fillId="0" borderId="0" xfId="0" applyNumberFormat="1" applyFont="1" applyAlignment="1">
      <alignment horizontal="center"/>
    </xf>
    <xf numFmtId="168" fontId="0" fillId="0" borderId="0" xfId="0" applyNumberFormat="1" applyAlignment="1">
      <alignment horizontal="center" vertical="center" wrapText="1"/>
    </xf>
    <xf numFmtId="168" fontId="0" fillId="0" borderId="0" xfId="0" applyNumberFormat="1" applyAlignment="1">
      <alignment horizontal="center" vertical="center"/>
    </xf>
    <xf numFmtId="0" fontId="3" fillId="0" borderId="0" xfId="0" applyFont="1"/>
    <xf numFmtId="0" fontId="9" fillId="0" borderId="0" xfId="0" applyFont="1" applyAlignment="1">
      <alignment horizontal="right"/>
    </xf>
    <xf numFmtId="0" fontId="0" fillId="0" borderId="0" xfId="0" applyAlignment="1">
      <alignment horizontal="center" wrapText="1"/>
    </xf>
    <xf numFmtId="0" fontId="0" fillId="0" borderId="0" xfId="0" applyAlignment="1" applyProtection="1">
      <alignment horizontal="center"/>
      <protection hidden="1"/>
    </xf>
    <xf numFmtId="165" fontId="12" fillId="0" borderId="0" xfId="11" applyNumberFormat="1" applyFont="1" applyFill="1" applyBorder="1" applyAlignment="1" applyProtection="1">
      <alignment horizontal="center"/>
      <protection hidden="1"/>
    </xf>
    <xf numFmtId="3" fontId="6" fillId="0" borderId="0" xfId="11" applyNumberFormat="1" applyFont="1" applyFill="1" applyBorder="1" applyAlignment="1" applyProtection="1">
      <alignment horizontal="center"/>
      <protection hidden="1"/>
    </xf>
    <xf numFmtId="165" fontId="6" fillId="0" borderId="0" xfId="11" applyNumberFormat="1" applyFont="1" applyFill="1" applyBorder="1" applyAlignment="1" applyProtection="1">
      <alignment horizontal="center"/>
      <protection hidden="1"/>
    </xf>
    <xf numFmtId="171" fontId="6" fillId="2" borderId="0" xfId="4" applyNumberFormat="1" applyFont="1" applyFill="1" applyBorder="1" applyAlignment="1" applyProtection="1">
      <alignment horizontal="center"/>
    </xf>
    <xf numFmtId="3" fontId="13" fillId="3" borderId="0" xfId="11" applyNumberFormat="1" applyFont="1" applyFill="1" applyBorder="1" applyAlignment="1" applyProtection="1">
      <alignment horizontal="center"/>
      <protection locked="0"/>
    </xf>
    <xf numFmtId="3" fontId="6" fillId="3" borderId="0" xfId="11" applyNumberFormat="1" applyFont="1" applyFill="1" applyBorder="1" applyAlignment="1" applyProtection="1">
      <alignment horizontal="center"/>
      <protection hidden="1"/>
    </xf>
    <xf numFmtId="0" fontId="7" fillId="3" borderId="0" xfId="0" applyFont="1" applyFill="1" applyAlignment="1">
      <alignment horizontal="center" vertical="center" wrapText="1"/>
    </xf>
    <xf numFmtId="0" fontId="3" fillId="0" borderId="0" xfId="0" applyFont="1" applyAlignment="1">
      <alignment horizontal="center"/>
    </xf>
    <xf numFmtId="10" fontId="3" fillId="0" borderId="0" xfId="0" applyNumberFormat="1" applyFont="1" applyAlignment="1">
      <alignment horizontal="center"/>
    </xf>
    <xf numFmtId="9" fontId="0" fillId="0" borderId="0" xfId="0" applyNumberFormat="1"/>
    <xf numFmtId="1" fontId="0" fillId="0" borderId="0" xfId="0" applyNumberFormat="1"/>
    <xf numFmtId="171" fontId="0" fillId="0" borderId="0" xfId="0" applyNumberFormat="1"/>
    <xf numFmtId="165" fontId="11" fillId="0" borderId="0" xfId="11" applyNumberFormat="1" applyFont="1" applyFill="1" applyBorder="1" applyAlignment="1" applyProtection="1">
      <alignment horizontal="left" indent="1"/>
      <protection hidden="1"/>
    </xf>
    <xf numFmtId="0" fontId="6" fillId="3" borderId="0" xfId="5" applyNumberFormat="1" applyFont="1" applyFill="1" applyBorder="1" applyAlignment="1" applyProtection="1">
      <alignment horizontal="center" vertical="center" wrapText="1"/>
    </xf>
    <xf numFmtId="168" fontId="3" fillId="0" borderId="0" xfId="0" applyNumberFormat="1" applyFont="1"/>
    <xf numFmtId="168" fontId="0" fillId="0" borderId="0" xfId="0" applyNumberFormat="1"/>
    <xf numFmtId="9" fontId="0" fillId="0" borderId="0" xfId="2" applyFont="1" applyBorder="1" applyAlignment="1">
      <alignment horizontal="center"/>
    </xf>
    <xf numFmtId="10" fontId="0" fillId="0" borderId="0" xfId="0" applyNumberFormat="1" applyAlignment="1">
      <alignment horizontal="center"/>
    </xf>
    <xf numFmtId="171" fontId="6" fillId="0" borderId="0" xfId="4" applyNumberFormat="1" applyFont="1" applyFill="1" applyBorder="1" applyAlignment="1" applyProtection="1">
      <alignment horizontal="center"/>
    </xf>
    <xf numFmtId="169" fontId="0" fillId="0" borderId="0" xfId="0" applyNumberFormat="1"/>
    <xf numFmtId="169" fontId="3" fillId="0" borderId="0" xfId="1" applyFont="1"/>
    <xf numFmtId="169" fontId="5" fillId="3" borderId="0" xfId="1" applyFont="1" applyFill="1" applyBorder="1" applyAlignment="1" applyProtection="1">
      <alignment horizontal="center" vertical="center" wrapText="1"/>
    </xf>
    <xf numFmtId="0" fontId="16" fillId="0" borderId="0" xfId="0" applyFont="1"/>
    <xf numFmtId="0" fontId="17" fillId="0" borderId="0" xfId="0" applyFont="1"/>
    <xf numFmtId="0" fontId="0" fillId="2" borderId="0" xfId="0" applyFill="1"/>
    <xf numFmtId="0" fontId="3" fillId="0" borderId="2" xfId="0" applyFont="1" applyBorder="1" applyAlignment="1">
      <alignment horizontal="center" vertical="center"/>
    </xf>
    <xf numFmtId="0" fontId="0" fillId="0" borderId="0" xfId="0" applyAlignment="1">
      <alignment horizontal="left" vertical="center"/>
    </xf>
    <xf numFmtId="0" fontId="0" fillId="3" borderId="0" xfId="0" applyFill="1"/>
    <xf numFmtId="0" fontId="0" fillId="0" borderId="0" xfId="0" applyAlignment="1">
      <alignment horizontal="center" vertical="center"/>
    </xf>
    <xf numFmtId="0" fontId="3" fillId="0" borderId="0" xfId="0" applyFont="1" applyAlignment="1">
      <alignment horizontal="center" vertical="center"/>
    </xf>
    <xf numFmtId="169" fontId="0" fillId="2" borderId="0" xfId="1" applyFont="1" applyFill="1" applyAlignment="1">
      <alignment horizontal="right" vertical="center"/>
    </xf>
    <xf numFmtId="9" fontId="0" fillId="2" borderId="0" xfId="0" applyNumberFormat="1" applyFill="1" applyAlignment="1">
      <alignment horizontal="right" vertical="center"/>
    </xf>
    <xf numFmtId="9" fontId="0" fillId="2" borderId="3" xfId="0" applyNumberFormat="1" applyFill="1" applyBorder="1" applyAlignment="1">
      <alignment horizontal="right" vertical="center"/>
    </xf>
    <xf numFmtId="169" fontId="0" fillId="3" borderId="0" xfId="1" applyFont="1" applyFill="1" applyAlignment="1">
      <alignment horizontal="right" vertical="center"/>
    </xf>
    <xf numFmtId="0" fontId="0" fillId="3" borderId="0" xfId="0" applyFill="1" applyAlignment="1">
      <alignment horizontal="right" vertical="center"/>
    </xf>
    <xf numFmtId="0" fontId="0" fillId="3" borderId="3" xfId="0" applyFill="1" applyBorder="1" applyAlignment="1">
      <alignment horizontal="right" vertical="center"/>
    </xf>
    <xf numFmtId="0" fontId="3" fillId="3" borderId="3" xfId="0" applyFont="1" applyFill="1" applyBorder="1" applyAlignment="1">
      <alignment horizontal="right" vertical="center"/>
    </xf>
    <xf numFmtId="0" fontId="0" fillId="2" borderId="0" xfId="0" applyFill="1" applyAlignment="1">
      <alignment horizontal="right" vertical="center"/>
    </xf>
    <xf numFmtId="0" fontId="0" fillId="2" borderId="3" xfId="0" applyFill="1" applyBorder="1" applyAlignment="1">
      <alignment horizontal="right" vertical="center"/>
    </xf>
    <xf numFmtId="0" fontId="3" fillId="3" borderId="0" xfId="0" applyFont="1" applyFill="1" applyAlignment="1">
      <alignment horizontal="center" vertical="center"/>
    </xf>
    <xf numFmtId="0" fontId="3" fillId="3" borderId="3" xfId="0" applyFont="1" applyFill="1" applyBorder="1" applyAlignment="1">
      <alignment horizontal="center" vertical="center"/>
    </xf>
    <xf numFmtId="0" fontId="0" fillId="5" borderId="0" xfId="0" applyFill="1"/>
    <xf numFmtId="0" fontId="3" fillId="0" borderId="0" xfId="0" applyFont="1" applyAlignment="1">
      <alignment horizontal="right"/>
    </xf>
    <xf numFmtId="0" fontId="3" fillId="0" borderId="3" xfId="0" applyFont="1" applyBorder="1" applyAlignment="1">
      <alignment horizontal="center" vertical="center"/>
    </xf>
    <xf numFmtId="0" fontId="3" fillId="0" borderId="3" xfId="0" applyFont="1" applyBorder="1" applyAlignment="1">
      <alignment horizontal="center" vertical="center" wrapText="1"/>
    </xf>
    <xf numFmtId="0" fontId="7" fillId="3" borderId="3" xfId="0" applyFont="1" applyFill="1" applyBorder="1" applyAlignment="1">
      <alignment horizontal="center" vertical="center" wrapText="1"/>
    </xf>
    <xf numFmtId="0" fontId="3" fillId="0" borderId="0" xfId="0" applyFont="1" applyAlignment="1">
      <alignment horizontal="right" vertical="center"/>
    </xf>
    <xf numFmtId="0" fontId="3" fillId="3" borderId="8" xfId="0" applyFont="1" applyFill="1" applyBorder="1" applyAlignment="1">
      <alignment horizontal="center" wrapText="1"/>
    </xf>
    <xf numFmtId="1" fontId="0" fillId="0" borderId="8" xfId="0" applyNumberFormat="1" applyBorder="1"/>
    <xf numFmtId="169" fontId="0" fillId="0" borderId="8" xfId="1" applyFont="1" applyBorder="1"/>
    <xf numFmtId="171" fontId="8" fillId="4" borderId="8" xfId="4" applyNumberFormat="1" applyFont="1" applyFill="1" applyBorder="1" applyAlignment="1" applyProtection="1">
      <alignment horizontal="center"/>
    </xf>
    <xf numFmtId="0" fontId="6" fillId="4" borderId="9" xfId="5" applyNumberFormat="1" applyFont="1" applyFill="1" applyBorder="1" applyAlignment="1" applyProtection="1">
      <alignment horizontal="center" vertical="center" wrapText="1"/>
    </xf>
    <xf numFmtId="0" fontId="8" fillId="4" borderId="9" xfId="0" applyFont="1" applyFill="1" applyBorder="1" applyAlignment="1">
      <alignment horizontal="center"/>
    </xf>
    <xf numFmtId="171" fontId="8" fillId="4" borderId="9" xfId="4" applyNumberFormat="1" applyFont="1" applyFill="1" applyBorder="1" applyAlignment="1" applyProtection="1">
      <alignment horizontal="center"/>
    </xf>
    <xf numFmtId="0" fontId="6" fillId="4" borderId="10" xfId="5" applyNumberFormat="1" applyFont="1" applyFill="1" applyBorder="1" applyAlignment="1" applyProtection="1">
      <alignment horizontal="center" vertical="center" wrapText="1"/>
    </xf>
    <xf numFmtId="0" fontId="8" fillId="4" borderId="10" xfId="0" applyFont="1" applyFill="1" applyBorder="1" applyAlignment="1">
      <alignment horizontal="center"/>
    </xf>
    <xf numFmtId="171" fontId="8" fillId="4" borderId="10" xfId="4" applyNumberFormat="1" applyFont="1" applyFill="1" applyBorder="1" applyAlignment="1" applyProtection="1">
      <alignment horizontal="center"/>
    </xf>
    <xf numFmtId="9" fontId="0" fillId="4" borderId="11" xfId="2" applyFont="1" applyFill="1" applyBorder="1" applyAlignment="1">
      <alignment horizontal="center" vertical="center"/>
    </xf>
    <xf numFmtId="9" fontId="0" fillId="4" borderId="5" xfId="2" applyFont="1" applyFill="1" applyBorder="1" applyAlignment="1">
      <alignment horizontal="center" vertical="center"/>
    </xf>
    <xf numFmtId="0" fontId="3" fillId="0" borderId="8" xfId="0" applyFont="1" applyBorder="1" applyAlignment="1">
      <alignment horizontal="center" wrapText="1"/>
    </xf>
    <xf numFmtId="0" fontId="3" fillId="3" borderId="0" xfId="0" applyFont="1" applyFill="1" applyAlignment="1">
      <alignment horizontal="center"/>
    </xf>
    <xf numFmtId="171" fontId="8" fillId="4" borderId="11" xfId="4" applyNumberFormat="1" applyFont="1" applyFill="1" applyBorder="1" applyAlignment="1" applyProtection="1">
      <alignment horizontal="center"/>
    </xf>
    <xf numFmtId="0" fontId="8" fillId="4" borderId="13" xfId="0" applyFont="1" applyFill="1" applyBorder="1" applyAlignment="1">
      <alignment horizontal="center"/>
    </xf>
    <xf numFmtId="171" fontId="8" fillId="4" borderId="5" xfId="4" applyNumberFormat="1" applyFont="1" applyFill="1" applyBorder="1" applyAlignment="1" applyProtection="1">
      <alignment horizontal="center"/>
    </xf>
    <xf numFmtId="0" fontId="3" fillId="0" borderId="16" xfId="0" applyFont="1" applyBorder="1" applyAlignment="1">
      <alignment horizontal="center" vertical="center"/>
    </xf>
    <xf numFmtId="171" fontId="6" fillId="0" borderId="17" xfId="4" applyNumberFormat="1" applyFont="1" applyFill="1" applyBorder="1" applyAlignment="1" applyProtection="1">
      <alignment horizontal="center"/>
    </xf>
    <xf numFmtId="171" fontId="8" fillId="0" borderId="5" xfId="4" applyNumberFormat="1" applyFont="1" applyFill="1" applyBorder="1" applyAlignment="1" applyProtection="1">
      <alignment horizontal="center"/>
    </xf>
    <xf numFmtId="171" fontId="0" fillId="0" borderId="5" xfId="0" applyNumberFormat="1" applyBorder="1"/>
    <xf numFmtId="0" fontId="8" fillId="4" borderId="11" xfId="0" applyFont="1" applyFill="1" applyBorder="1" applyAlignment="1">
      <alignment horizontal="center"/>
    </xf>
    <xf numFmtId="0" fontId="8" fillId="4" borderId="5" xfId="0" applyFont="1" applyFill="1" applyBorder="1" applyAlignment="1">
      <alignment horizontal="center"/>
    </xf>
    <xf numFmtId="165" fontId="6" fillId="0" borderId="0" xfId="11" applyNumberFormat="1" applyFont="1" applyBorder="1" applyAlignment="1" applyProtection="1">
      <alignment horizontal="center" vertical="center"/>
      <protection hidden="1"/>
    </xf>
    <xf numFmtId="0" fontId="0" fillId="0" borderId="3" xfId="0" applyBorder="1" applyAlignment="1">
      <alignment horizontal="center" vertical="center"/>
    </xf>
    <xf numFmtId="0" fontId="0" fillId="0" borderId="3" xfId="0" applyBorder="1"/>
    <xf numFmtId="0" fontId="8" fillId="4" borderId="23" xfId="0" applyFont="1" applyFill="1" applyBorder="1" applyAlignment="1">
      <alignment horizontal="center"/>
    </xf>
    <xf numFmtId="0" fontId="3" fillId="0" borderId="3" xfId="0" applyFont="1" applyBorder="1" applyAlignment="1">
      <alignment horizontal="center"/>
    </xf>
    <xf numFmtId="0" fontId="3" fillId="0" borderId="3" xfId="0" applyFont="1" applyBorder="1" applyAlignment="1">
      <alignment horizontal="right"/>
    </xf>
    <xf numFmtId="0" fontId="3" fillId="0" borderId="3" xfId="0" applyFont="1" applyBorder="1"/>
    <xf numFmtId="0" fontId="19" fillId="0" borderId="0" xfId="0" applyFont="1" applyAlignment="1">
      <alignment horizontal="center" vertical="center"/>
    </xf>
    <xf numFmtId="0" fontId="18" fillId="0" borderId="0" xfId="0" applyFont="1" applyAlignment="1">
      <alignment horizontal="center" vertical="center"/>
    </xf>
    <xf numFmtId="0" fontId="19" fillId="0" borderId="8" xfId="0" applyFont="1" applyBorder="1" applyAlignment="1">
      <alignment horizontal="center" vertical="center"/>
    </xf>
    <xf numFmtId="0" fontId="7" fillId="3" borderId="8" xfId="0" applyFont="1" applyFill="1" applyBorder="1" applyAlignment="1">
      <alignment horizontal="center" vertical="center"/>
    </xf>
    <xf numFmtId="0" fontId="0" fillId="0" borderId="24" xfId="0" applyBorder="1"/>
    <xf numFmtId="0" fontId="3" fillId="2" borderId="3" xfId="0" applyFont="1" applyFill="1" applyBorder="1" applyAlignment="1">
      <alignment horizontal="right"/>
    </xf>
    <xf numFmtId="164" fontId="3" fillId="2" borderId="0" xfId="0" applyNumberFormat="1" applyFont="1" applyFill="1" applyAlignment="1">
      <alignment horizontal="right"/>
    </xf>
    <xf numFmtId="0" fontId="3" fillId="2" borderId="0" xfId="0" applyFont="1" applyFill="1" applyAlignment="1">
      <alignment horizontal="right"/>
    </xf>
    <xf numFmtId="168" fontId="0" fillId="2" borderId="0" xfId="0" applyNumberFormat="1" applyFill="1"/>
    <xf numFmtId="0" fontId="3" fillId="0" borderId="24" xfId="0" applyFont="1" applyBorder="1" applyAlignment="1">
      <alignment horizontal="center" vertical="center"/>
    </xf>
    <xf numFmtId="0" fontId="18" fillId="0" borderId="24" xfId="0" applyFont="1" applyBorder="1" applyAlignment="1">
      <alignment horizontal="center" vertical="center"/>
    </xf>
    <xf numFmtId="0" fontId="0" fillId="0" borderId="0" xfId="0" quotePrefix="1" applyAlignment="1">
      <alignment horizontal="center" vertical="center" wrapText="1"/>
    </xf>
    <xf numFmtId="0" fontId="3" fillId="0" borderId="25" xfId="0" applyFont="1" applyBorder="1" applyAlignment="1">
      <alignment horizontal="center" vertical="center"/>
    </xf>
    <xf numFmtId="169" fontId="3" fillId="0" borderId="25" xfId="0" applyNumberFormat="1" applyFont="1" applyBorder="1" applyAlignment="1">
      <alignment horizontal="center" vertical="center"/>
    </xf>
    <xf numFmtId="0" fontId="3" fillId="0" borderId="26" xfId="0" applyFont="1" applyBorder="1" applyAlignment="1">
      <alignment horizontal="center" vertical="center"/>
    </xf>
    <xf numFmtId="169" fontId="3" fillId="0" borderId="26" xfId="1" applyFont="1" applyBorder="1" applyAlignment="1">
      <alignment horizontal="center"/>
    </xf>
    <xf numFmtId="0" fontId="3" fillId="0" borderId="27" xfId="0" applyFont="1" applyBorder="1" applyAlignment="1">
      <alignment horizontal="center" vertical="center"/>
    </xf>
    <xf numFmtId="169" fontId="3" fillId="0" borderId="27" xfId="1" applyFont="1" applyBorder="1"/>
    <xf numFmtId="169" fontId="3" fillId="0" borderId="0" xfId="1" applyFont="1" applyBorder="1"/>
    <xf numFmtId="169" fontId="3" fillId="0" borderId="26" xfId="1" applyFont="1" applyBorder="1"/>
    <xf numFmtId="0" fontId="3" fillId="0" borderId="1" xfId="0" applyFont="1" applyBorder="1" applyAlignment="1">
      <alignment horizontal="center" vertical="center"/>
    </xf>
    <xf numFmtId="169" fontId="3" fillId="0" borderId="1" xfId="1" applyFont="1" applyBorder="1"/>
    <xf numFmtId="169" fontId="0" fillId="0" borderId="24" xfId="1" applyFont="1" applyBorder="1"/>
    <xf numFmtId="169" fontId="0" fillId="0" borderId="3" xfId="1" applyFont="1" applyBorder="1"/>
    <xf numFmtId="169" fontId="3" fillId="0" borderId="24" xfId="1" applyFont="1" applyBorder="1"/>
    <xf numFmtId="169" fontId="3" fillId="0" borderId="3" xfId="1" applyFont="1" applyBorder="1"/>
    <xf numFmtId="169" fontId="3" fillId="0" borderId="8" xfId="1" applyFont="1" applyBorder="1"/>
    <xf numFmtId="169" fontId="3" fillId="2" borderId="0" xfId="1" applyFont="1" applyFill="1"/>
    <xf numFmtId="169" fontId="0" fillId="2" borderId="0" xfId="1" applyFont="1" applyFill="1"/>
    <xf numFmtId="169" fontId="3" fillId="2" borderId="8" xfId="1" applyFont="1" applyFill="1" applyBorder="1"/>
    <xf numFmtId="169" fontId="3" fillId="2" borderId="24" xfId="1" applyFont="1" applyFill="1" applyBorder="1"/>
    <xf numFmtId="169" fontId="3" fillId="2" borderId="0" xfId="1" applyFont="1" applyFill="1" applyBorder="1"/>
    <xf numFmtId="169" fontId="3" fillId="2" borderId="3" xfId="1" applyFont="1" applyFill="1" applyBorder="1"/>
    <xf numFmtId="169" fontId="0" fillId="2" borderId="24" xfId="1" applyFont="1" applyFill="1" applyBorder="1"/>
    <xf numFmtId="169" fontId="0" fillId="2" borderId="3" xfId="1" applyFont="1" applyFill="1" applyBorder="1"/>
    <xf numFmtId="0" fontId="3" fillId="2" borderId="3" xfId="0" applyFont="1" applyFill="1" applyBorder="1" applyAlignment="1">
      <alignment horizontal="center"/>
    </xf>
    <xf numFmtId="10" fontId="0" fillId="2" borderId="0" xfId="0" applyNumberFormat="1" applyFill="1" applyAlignment="1">
      <alignment horizontal="center"/>
    </xf>
    <xf numFmtId="168" fontId="0" fillId="2" borderId="0" xfId="0" applyNumberFormat="1" applyFill="1" applyAlignment="1">
      <alignment horizontal="center" vertical="center" wrapText="1"/>
    </xf>
    <xf numFmtId="169" fontId="3" fillId="2" borderId="25" xfId="0" applyNumberFormat="1" applyFont="1" applyFill="1" applyBorder="1" applyAlignment="1">
      <alignment horizontal="center" vertical="center"/>
    </xf>
    <xf numFmtId="169" fontId="3" fillId="2" borderId="26" xfId="1" applyFont="1" applyFill="1" applyBorder="1" applyAlignment="1">
      <alignment horizontal="center"/>
    </xf>
    <xf numFmtId="169" fontId="3" fillId="2" borderId="27" xfId="1" applyFont="1" applyFill="1" applyBorder="1"/>
    <xf numFmtId="169" fontId="3" fillId="2" borderId="26" xfId="1" applyFont="1" applyFill="1" applyBorder="1"/>
    <xf numFmtId="169" fontId="3" fillId="2" borderId="1" xfId="1" applyFont="1" applyFill="1" applyBorder="1"/>
    <xf numFmtId="0" fontId="21" fillId="0" borderId="0" xfId="0" applyFont="1" applyAlignment="1">
      <alignment horizontal="center"/>
    </xf>
    <xf numFmtId="0" fontId="22" fillId="0" borderId="0" xfId="0" applyFont="1" applyAlignment="1">
      <alignment horizontal="center"/>
    </xf>
    <xf numFmtId="0" fontId="21" fillId="0" borderId="0" xfId="0" applyFont="1"/>
    <xf numFmtId="9" fontId="21" fillId="0" borderId="0" xfId="0" applyNumberFormat="1" applyFont="1" applyAlignment="1">
      <alignment horizontal="center"/>
    </xf>
    <xf numFmtId="0" fontId="3" fillId="2" borderId="3" xfId="0" applyFont="1" applyFill="1" applyBorder="1" applyAlignment="1">
      <alignment horizontal="right" vertical="center"/>
    </xf>
    <xf numFmtId="0" fontId="3" fillId="0" borderId="16" xfId="0" applyFont="1" applyBorder="1" applyAlignment="1">
      <alignment horizontal="left" vertical="center"/>
    </xf>
    <xf numFmtId="168" fontId="3" fillId="2" borderId="0" xfId="0" applyNumberFormat="1" applyFont="1" applyFill="1"/>
    <xf numFmtId="0" fontId="3" fillId="2" borderId="0" xfId="0" applyFont="1" applyFill="1" applyAlignment="1">
      <alignment wrapText="1"/>
    </xf>
    <xf numFmtId="0" fontId="0" fillId="2" borderId="0" xfId="0" applyFill="1" applyAlignment="1">
      <alignment wrapText="1"/>
    </xf>
    <xf numFmtId="0" fontId="18" fillId="2" borderId="0" xfId="0" applyFont="1" applyFill="1"/>
    <xf numFmtId="0" fontId="23" fillId="0" borderId="0" xfId="0" applyFont="1"/>
    <xf numFmtId="172" fontId="23" fillId="0" borderId="0" xfId="0" applyNumberFormat="1" applyFont="1"/>
    <xf numFmtId="0" fontId="24" fillId="0" borderId="0" xfId="0" applyFont="1"/>
    <xf numFmtId="172" fontId="24" fillId="0" borderId="0" xfId="0" applyNumberFormat="1" applyFont="1"/>
    <xf numFmtId="0" fontId="29" fillId="0" borderId="68" xfId="0" applyFont="1" applyBorder="1" applyAlignment="1">
      <alignment horizontal="center" vertical="center"/>
    </xf>
    <xf numFmtId="0" fontId="38" fillId="0" borderId="69" xfId="0" applyFont="1" applyBorder="1" applyAlignment="1">
      <alignment horizontal="justify" vertical="center"/>
    </xf>
    <xf numFmtId="0" fontId="39" fillId="0" borderId="71" xfId="0" applyFont="1" applyBorder="1" applyAlignment="1">
      <alignment horizontal="center" vertical="center"/>
    </xf>
    <xf numFmtId="0" fontId="29" fillId="3" borderId="70" xfId="0" applyFont="1" applyFill="1" applyBorder="1" applyAlignment="1">
      <alignment horizontal="center" vertical="center"/>
    </xf>
    <xf numFmtId="0" fontId="29" fillId="3" borderId="71" xfId="0" applyFont="1" applyFill="1" applyBorder="1" applyAlignment="1">
      <alignment horizontal="center" vertical="center"/>
    </xf>
    <xf numFmtId="49" fontId="40" fillId="3" borderId="73" xfId="0" applyNumberFormat="1" applyFont="1" applyFill="1" applyBorder="1" applyAlignment="1">
      <alignment horizontal="center" vertical="center"/>
    </xf>
    <xf numFmtId="0" fontId="38" fillId="8" borderId="28" xfId="0" applyFont="1" applyFill="1" applyBorder="1" applyAlignment="1">
      <alignment horizontal="center" vertical="center"/>
    </xf>
    <xf numFmtId="0" fontId="29" fillId="0" borderId="79" xfId="0" applyFont="1" applyBorder="1" applyAlignment="1">
      <alignment horizontal="center" vertical="center"/>
    </xf>
    <xf numFmtId="0" fontId="38" fillId="0" borderId="80" xfId="0" applyFont="1" applyBorder="1" applyAlignment="1">
      <alignment horizontal="justify" vertical="center"/>
    </xf>
    <xf numFmtId="0" fontId="39" fillId="0" borderId="82" xfId="0" applyFont="1" applyBorder="1" applyAlignment="1">
      <alignment horizontal="center" vertical="center"/>
    </xf>
    <xf numFmtId="0" fontId="29" fillId="3" borderId="81" xfId="0" applyFont="1" applyFill="1" applyBorder="1" applyAlignment="1">
      <alignment horizontal="center" vertical="center"/>
    </xf>
    <xf numFmtId="0" fontId="29" fillId="3" borderId="82" xfId="0" applyFont="1" applyFill="1" applyBorder="1" applyAlignment="1">
      <alignment horizontal="center" vertical="center"/>
    </xf>
    <xf numFmtId="49" fontId="40" fillId="3" borderId="84" xfId="0" applyNumberFormat="1" applyFont="1" applyFill="1" applyBorder="1" applyAlignment="1">
      <alignment horizontal="center" vertical="center"/>
    </xf>
    <xf numFmtId="0" fontId="38" fillId="8" borderId="85" xfId="0" applyFont="1" applyFill="1" applyBorder="1" applyAlignment="1">
      <alignment horizontal="center" vertical="center"/>
    </xf>
    <xf numFmtId="0" fontId="29" fillId="0" borderId="70" xfId="0" applyFont="1" applyBorder="1" applyAlignment="1">
      <alignment horizontal="center" vertical="center"/>
    </xf>
    <xf numFmtId="0" fontId="29" fillId="0" borderId="81" xfId="0" applyFont="1" applyBorder="1" applyAlignment="1">
      <alignment horizontal="center" vertical="center"/>
    </xf>
    <xf numFmtId="2" fontId="29" fillId="0" borderId="68" xfId="0" applyNumberFormat="1" applyFont="1" applyBorder="1" applyAlignment="1">
      <alignment horizontal="center" vertical="center"/>
    </xf>
    <xf numFmtId="0" fontId="38" fillId="0" borderId="68" xfId="0" applyFont="1" applyBorder="1" applyAlignment="1">
      <alignment horizontal="justify" vertical="center"/>
    </xf>
    <xf numFmtId="0" fontId="38" fillId="9" borderId="28" xfId="0" applyFont="1" applyFill="1" applyBorder="1" applyAlignment="1">
      <alignment horizontal="center" vertical="center"/>
    </xf>
    <xf numFmtId="0" fontId="38" fillId="0" borderId="79" xfId="0" applyFont="1" applyBorder="1" applyAlignment="1">
      <alignment horizontal="justify" vertical="center"/>
    </xf>
    <xf numFmtId="2" fontId="29" fillId="0" borderId="93" xfId="0" applyNumberFormat="1" applyFont="1" applyBorder="1" applyAlignment="1">
      <alignment horizontal="center" vertical="center"/>
    </xf>
    <xf numFmtId="0" fontId="38" fillId="0" borderId="93" xfId="0" applyFont="1" applyBorder="1" applyAlignment="1">
      <alignment horizontal="justify" vertical="center"/>
    </xf>
    <xf numFmtId="0" fontId="39" fillId="0" borderId="95" xfId="0" applyFont="1" applyBorder="1" applyAlignment="1">
      <alignment horizontal="center" vertical="center"/>
    </xf>
    <xf numFmtId="0" fontId="29" fillId="0" borderId="94" xfId="0" applyFont="1" applyBorder="1" applyAlignment="1">
      <alignment horizontal="center" vertical="center"/>
    </xf>
    <xf numFmtId="0" fontId="29" fillId="3" borderId="95" xfId="0" applyFont="1" applyFill="1" applyBorder="1" applyAlignment="1">
      <alignment horizontal="center" vertical="center"/>
    </xf>
    <xf numFmtId="49" fontId="40" fillId="3" borderId="97" xfId="0" applyNumberFormat="1" applyFont="1" applyFill="1" applyBorder="1" applyAlignment="1">
      <alignment horizontal="center" vertical="center"/>
    </xf>
    <xf numFmtId="0" fontId="29" fillId="0" borderId="34" xfId="0" applyFont="1" applyBorder="1"/>
    <xf numFmtId="0" fontId="29" fillId="0" borderId="0" xfId="0" applyFont="1"/>
    <xf numFmtId="0" fontId="29" fillId="0" borderId="0" xfId="0" applyFont="1" applyAlignment="1">
      <alignment horizontal="center"/>
    </xf>
    <xf numFmtId="0" fontId="29" fillId="9" borderId="98" xfId="0" applyFont="1" applyFill="1" applyBorder="1" applyAlignment="1">
      <alignment horizontal="center"/>
    </xf>
    <xf numFmtId="0" fontId="29" fillId="0" borderId="35" xfId="0" applyFont="1" applyBorder="1"/>
    <xf numFmtId="0" fontId="29" fillId="0" borderId="36" xfId="0" applyFont="1" applyBorder="1"/>
    <xf numFmtId="0" fontId="29" fillId="0" borderId="37" xfId="0" applyFont="1" applyBorder="1"/>
    <xf numFmtId="0" fontId="29" fillId="0" borderId="37" xfId="0" applyFont="1" applyBorder="1" applyAlignment="1">
      <alignment horizontal="center"/>
    </xf>
    <xf numFmtId="0" fontId="29" fillId="0" borderId="38" xfId="0" applyFont="1" applyBorder="1"/>
    <xf numFmtId="0" fontId="39" fillId="0" borderId="72" xfId="0" applyFont="1" applyBorder="1" applyAlignment="1">
      <alignment horizontal="center" vertical="center"/>
    </xf>
    <xf numFmtId="0" fontId="39" fillId="0" borderId="83" xfId="0" applyFont="1" applyBorder="1" applyAlignment="1">
      <alignment horizontal="center" vertical="center"/>
    </xf>
    <xf numFmtId="0" fontId="39" fillId="0" borderId="96" xfId="0" applyFont="1" applyBorder="1" applyAlignment="1">
      <alignment horizontal="center" vertical="center"/>
    </xf>
    <xf numFmtId="0" fontId="36" fillId="0" borderId="100" xfId="0" applyFont="1" applyBorder="1" applyAlignment="1">
      <alignment horizontal="center"/>
    </xf>
    <xf numFmtId="0" fontId="0" fillId="0" borderId="101" xfId="0" applyBorder="1" applyAlignment="1">
      <alignment horizontal="center"/>
    </xf>
    <xf numFmtId="0" fontId="0" fillId="0" borderId="102" xfId="0" applyBorder="1" applyAlignment="1">
      <alignment horizontal="center"/>
    </xf>
    <xf numFmtId="0" fontId="0" fillId="0" borderId="101" xfId="0" applyBorder="1" applyAlignment="1">
      <alignment horizontal="center" vertical="center"/>
    </xf>
    <xf numFmtId="0" fontId="0" fillId="0" borderId="103" xfId="0" applyBorder="1" applyAlignment="1">
      <alignment horizontal="center" vertical="center"/>
    </xf>
    <xf numFmtId="0" fontId="0" fillId="0" borderId="104" xfId="0" applyBorder="1" applyAlignment="1">
      <alignment horizontal="center" vertical="center"/>
    </xf>
    <xf numFmtId="0" fontId="0" fillId="0" borderId="105" xfId="0" applyBorder="1" applyAlignment="1">
      <alignment horizontal="center" vertical="center"/>
    </xf>
    <xf numFmtId="0" fontId="0" fillId="0" borderId="102" xfId="0" applyBorder="1" applyAlignment="1">
      <alignment horizontal="center" vertical="center"/>
    </xf>
    <xf numFmtId="0" fontId="0" fillId="0" borderId="106" xfId="0" applyBorder="1" applyAlignment="1">
      <alignment horizontal="center" vertical="center"/>
    </xf>
    <xf numFmtId="0" fontId="43" fillId="0" borderId="99" xfId="0" applyFont="1" applyBorder="1" applyAlignment="1">
      <alignment vertical="center" wrapText="1"/>
    </xf>
    <xf numFmtId="0" fontId="43" fillId="0" borderId="87" xfId="0" applyFont="1" applyBorder="1" applyAlignment="1">
      <alignment vertical="center" wrapText="1"/>
    </xf>
    <xf numFmtId="0" fontId="32" fillId="8" borderId="35" xfId="0" applyFont="1" applyFill="1" applyBorder="1" applyAlignment="1">
      <alignment horizontal="center" vertical="center"/>
    </xf>
    <xf numFmtId="0" fontId="32" fillId="11" borderId="35" xfId="0" applyFont="1" applyFill="1" applyBorder="1" applyAlignment="1">
      <alignment horizontal="center" vertical="center"/>
    </xf>
    <xf numFmtId="0" fontId="32" fillId="12" borderId="35" xfId="0" applyFont="1" applyFill="1" applyBorder="1" applyAlignment="1">
      <alignment horizontal="center" vertical="center"/>
    </xf>
    <xf numFmtId="0" fontId="32" fillId="13" borderId="35" xfId="0" applyFont="1" applyFill="1" applyBorder="1" applyAlignment="1">
      <alignment horizontal="center" vertical="center"/>
    </xf>
    <xf numFmtId="0" fontId="0" fillId="0" borderId="0" xfId="0" applyAlignment="1">
      <alignment horizontal="center"/>
    </xf>
    <xf numFmtId="0" fontId="45" fillId="11" borderId="0" xfId="0" applyFont="1" applyFill="1"/>
    <xf numFmtId="0" fontId="45" fillId="8" borderId="0" xfId="0" applyFont="1" applyFill="1"/>
    <xf numFmtId="0" fontId="45" fillId="14" borderId="0" xfId="0" applyFont="1" applyFill="1"/>
    <xf numFmtId="0" fontId="46" fillId="14" borderId="35" xfId="0" applyFont="1" applyFill="1" applyBorder="1" applyAlignment="1">
      <alignment horizontal="center"/>
    </xf>
    <xf numFmtId="0" fontId="29" fillId="0" borderId="74" xfId="0" applyFont="1" applyBorder="1"/>
    <xf numFmtId="0" fontId="29" fillId="0" borderId="75" xfId="0" applyFont="1" applyBorder="1"/>
    <xf numFmtId="0" fontId="38" fillId="0" borderId="75" xfId="0" applyFont="1" applyBorder="1" applyAlignment="1">
      <alignment horizontal="center" vertical="center"/>
    </xf>
    <xf numFmtId="0" fontId="29" fillId="0" borderId="76" xfId="0" applyFont="1" applyBorder="1"/>
    <xf numFmtId="0" fontId="29" fillId="0" borderId="86" xfId="0" applyFont="1" applyBorder="1"/>
    <xf numFmtId="0" fontId="38" fillId="0" borderId="86" xfId="0" applyFont="1" applyBorder="1" applyAlignment="1">
      <alignment horizontal="center" vertical="center"/>
    </xf>
    <xf numFmtId="0" fontId="29" fillId="0" borderId="87" xfId="0" applyFont="1" applyBorder="1"/>
    <xf numFmtId="0" fontId="29" fillId="0" borderId="85" xfId="0" applyFont="1" applyBorder="1"/>
    <xf numFmtId="0" fontId="38" fillId="0" borderId="76" xfId="0" applyFont="1" applyBorder="1" applyAlignment="1">
      <alignment horizontal="center" vertical="center"/>
    </xf>
    <xf numFmtId="0" fontId="38" fillId="0" borderId="74" xfId="0" applyFont="1" applyBorder="1" applyAlignment="1">
      <alignment horizontal="center" vertical="center"/>
    </xf>
    <xf numFmtId="0" fontId="29" fillId="0" borderId="92" xfId="0" applyFont="1" applyBorder="1"/>
    <xf numFmtId="0" fontId="29" fillId="0" borderId="30" xfId="0" applyFont="1" applyBorder="1"/>
    <xf numFmtId="0" fontId="38" fillId="0" borderId="30" xfId="0" applyFont="1" applyBorder="1" applyAlignment="1">
      <alignment horizontal="center" vertical="center"/>
    </xf>
    <xf numFmtId="0" fontId="29" fillId="0" borderId="98" xfId="0" applyFont="1" applyBorder="1"/>
    <xf numFmtId="0" fontId="29" fillId="0" borderId="28" xfId="0" applyFont="1" applyBorder="1"/>
    <xf numFmtId="0" fontId="31" fillId="15" borderId="100" xfId="0" applyFont="1" applyFill="1" applyBorder="1" applyAlignment="1">
      <alignment horizontal="center" vertical="center" wrapText="1"/>
    </xf>
    <xf numFmtId="0" fontId="31" fillId="15" borderId="41" xfId="0" applyFont="1" applyFill="1" applyBorder="1" applyAlignment="1">
      <alignment horizontal="center" vertical="center" wrapText="1"/>
    </xf>
    <xf numFmtId="0" fontId="47" fillId="0" borderId="91" xfId="0" applyFont="1" applyBorder="1" applyAlignment="1">
      <alignment horizontal="center" vertical="center" wrapText="1"/>
    </xf>
    <xf numFmtId="0" fontId="47" fillId="0" borderId="38" xfId="0" applyFont="1" applyBorder="1" applyAlignment="1">
      <alignment horizontal="center" vertical="center" wrapText="1"/>
    </xf>
    <xf numFmtId="0" fontId="48" fillId="0" borderId="38" xfId="0" applyFont="1" applyBorder="1" applyAlignment="1">
      <alignment horizontal="center" vertical="center" wrapText="1"/>
    </xf>
    <xf numFmtId="0" fontId="49" fillId="0" borderId="0" xfId="0" applyFont="1" applyAlignment="1">
      <alignment horizontal="center" vertical="center"/>
    </xf>
    <xf numFmtId="0" fontId="25" fillId="5" borderId="0" xfId="0" applyFont="1" applyFill="1" applyAlignment="1">
      <alignment horizontal="center" vertical="center"/>
    </xf>
    <xf numFmtId="0" fontId="26" fillId="5" borderId="0" xfId="0" applyFont="1" applyFill="1" applyAlignment="1">
      <alignment horizontal="center" vertical="center"/>
    </xf>
    <xf numFmtId="0" fontId="0" fillId="7" borderId="28" xfId="0" applyFill="1" applyBorder="1"/>
    <xf numFmtId="0" fontId="0" fillId="7" borderId="28" xfId="0" applyFill="1" applyBorder="1" applyProtection="1">
      <protection locked="0"/>
    </xf>
    <xf numFmtId="1" fontId="0" fillId="7" borderId="28" xfId="0" applyNumberFormat="1" applyFill="1" applyBorder="1" applyAlignment="1" applyProtection="1">
      <alignment horizontal="center"/>
      <protection locked="0"/>
    </xf>
    <xf numFmtId="1" fontId="0" fillId="7" borderId="28" xfId="0" applyNumberFormat="1" applyFill="1" applyBorder="1" applyAlignment="1">
      <alignment horizontal="center"/>
    </xf>
    <xf numFmtId="0" fontId="6" fillId="7" borderId="29" xfId="0" applyFont="1" applyFill="1" applyBorder="1" applyAlignment="1">
      <alignment horizontal="center" vertical="center" textRotation="90" wrapText="1"/>
    </xf>
    <xf numFmtId="0" fontId="7" fillId="7" borderId="30" xfId="0" applyFont="1" applyFill="1" applyBorder="1" applyAlignment="1">
      <alignment horizontal="center" textRotation="90" wrapText="1"/>
    </xf>
    <xf numFmtId="0" fontId="7" fillId="7" borderId="28" xfId="0" applyFont="1" applyFill="1" applyBorder="1" applyAlignment="1" applyProtection="1">
      <alignment horizontal="center" textRotation="90" wrapText="1"/>
      <protection locked="0"/>
    </xf>
    <xf numFmtId="0" fontId="7" fillId="7" borderId="28" xfId="0" applyFont="1" applyFill="1" applyBorder="1" applyAlignment="1">
      <alignment horizontal="center" vertical="center" wrapText="1"/>
    </xf>
    <xf numFmtId="0" fontId="7" fillId="7" borderId="28" xfId="0" applyFont="1" applyFill="1" applyBorder="1"/>
    <xf numFmtId="1" fontId="7" fillId="7" borderId="28" xfId="0" applyNumberFormat="1" applyFont="1" applyFill="1" applyBorder="1" applyAlignment="1">
      <alignment horizontal="center"/>
    </xf>
    <xf numFmtId="0" fontId="25" fillId="3" borderId="0" xfId="0" applyFont="1" applyFill="1"/>
    <xf numFmtId="0" fontId="23" fillId="16" borderId="34" xfId="0" applyFont="1" applyFill="1" applyBorder="1"/>
    <xf numFmtId="172" fontId="23" fillId="16" borderId="0" xfId="0" applyNumberFormat="1" applyFont="1" applyFill="1"/>
    <xf numFmtId="0" fontId="23" fillId="16" borderId="0" xfId="0" applyFont="1" applyFill="1"/>
    <xf numFmtId="0" fontId="23" fillId="16" borderId="35" xfId="0" applyFont="1" applyFill="1" applyBorder="1"/>
    <xf numFmtId="0" fontId="24" fillId="16" borderId="0" xfId="0" applyFont="1" applyFill="1" applyAlignment="1">
      <alignment wrapText="1"/>
    </xf>
    <xf numFmtId="0" fontId="23" fillId="16" borderId="37" xfId="0" applyFont="1" applyFill="1" applyBorder="1"/>
    <xf numFmtId="0" fontId="24" fillId="16" borderId="37" xfId="0" applyFont="1" applyFill="1" applyBorder="1" applyAlignment="1">
      <alignment wrapText="1"/>
    </xf>
    <xf numFmtId="0" fontId="23" fillId="16" borderId="38" xfId="0" applyFont="1" applyFill="1" applyBorder="1"/>
    <xf numFmtId="0" fontId="23" fillId="16" borderId="31" xfId="0" applyFont="1" applyFill="1" applyBorder="1"/>
    <xf numFmtId="0" fontId="23" fillId="16" borderId="36" xfId="0" applyFont="1" applyFill="1" applyBorder="1"/>
    <xf numFmtId="0" fontId="23" fillId="0" borderId="34" xfId="0" applyFont="1" applyBorder="1"/>
    <xf numFmtId="0" fontId="23" fillId="0" borderId="35" xfId="0" applyFont="1" applyBorder="1"/>
    <xf numFmtId="0" fontId="24" fillId="0" borderId="34" xfId="0" applyFont="1" applyBorder="1"/>
    <xf numFmtId="0" fontId="23" fillId="0" borderId="0" xfId="0" applyFont="1" applyAlignment="1">
      <alignment horizontal="center"/>
    </xf>
    <xf numFmtId="49" fontId="23" fillId="0" borderId="0" xfId="13" applyNumberFormat="1" applyFont="1" applyBorder="1"/>
    <xf numFmtId="172" fontId="52" fillId="0" borderId="0" xfId="12" applyNumberFormat="1" applyBorder="1"/>
    <xf numFmtId="0" fontId="0" fillId="0" borderId="34" xfId="0" applyBorder="1" applyAlignment="1">
      <alignment horizontal="left" wrapText="1"/>
    </xf>
    <xf numFmtId="0" fontId="0" fillId="0" borderId="0" xfId="0" applyAlignment="1">
      <alignment horizontal="left" wrapText="1"/>
    </xf>
    <xf numFmtId="0" fontId="0" fillId="0" borderId="35" xfId="0" applyBorder="1" applyAlignment="1">
      <alignment horizontal="left" wrapText="1"/>
    </xf>
    <xf numFmtId="0" fontId="24" fillId="0" borderId="0" xfId="0" applyFont="1" applyAlignment="1">
      <alignment horizontal="center"/>
    </xf>
    <xf numFmtId="173" fontId="23" fillId="0" borderId="0" xfId="14" applyNumberFormat="1" applyFont="1" applyBorder="1" applyAlignment="1">
      <alignment horizontal="center"/>
    </xf>
    <xf numFmtId="174" fontId="23" fillId="0" borderId="0" xfId="13" applyNumberFormat="1" applyFont="1" applyBorder="1" applyAlignment="1">
      <alignment horizontal="center"/>
    </xf>
    <xf numFmtId="174" fontId="23" fillId="0" borderId="0" xfId="13" applyNumberFormat="1" applyFont="1" applyBorder="1"/>
    <xf numFmtId="0" fontId="0" fillId="0" borderId="34" xfId="0" applyBorder="1" applyAlignment="1">
      <alignment wrapText="1"/>
    </xf>
    <xf numFmtId="0" fontId="0" fillId="0" borderId="0" xfId="0" applyAlignment="1">
      <alignment vertical="center" wrapText="1"/>
    </xf>
    <xf numFmtId="0" fontId="0" fillId="0" borderId="35" xfId="0" applyBorder="1" applyAlignment="1">
      <alignment vertical="center" wrapText="1"/>
    </xf>
    <xf numFmtId="0" fontId="23" fillId="0" borderId="36" xfId="0" applyFont="1" applyBorder="1"/>
    <xf numFmtId="0" fontId="23" fillId="0" borderId="37" xfId="0" applyFont="1" applyBorder="1"/>
    <xf numFmtId="0" fontId="23" fillId="0" borderId="38" xfId="0" applyFont="1" applyBorder="1"/>
    <xf numFmtId="169" fontId="3" fillId="0" borderId="0" xfId="0" applyNumberFormat="1" applyFont="1"/>
    <xf numFmtId="169" fontId="1" fillId="2" borderId="1" xfId="1" applyFont="1" applyFill="1" applyBorder="1"/>
    <xf numFmtId="169" fontId="0" fillId="0" borderId="24" xfId="1" applyFont="1" applyFill="1" applyBorder="1"/>
    <xf numFmtId="0" fontId="0" fillId="0" borderId="34" xfId="0" applyBorder="1"/>
    <xf numFmtId="0" fontId="0" fillId="0" borderId="35" xfId="0" applyBorder="1"/>
    <xf numFmtId="169" fontId="0" fillId="2" borderId="116" xfId="1" applyFont="1" applyFill="1" applyBorder="1"/>
    <xf numFmtId="169" fontId="0" fillId="2" borderId="117" xfId="1" applyFont="1" applyFill="1" applyBorder="1"/>
    <xf numFmtId="0" fontId="3" fillId="0" borderId="34" xfId="0" applyFont="1" applyBorder="1"/>
    <xf numFmtId="169" fontId="0" fillId="0" borderId="116" xfId="1" applyFont="1" applyFill="1" applyBorder="1"/>
    <xf numFmtId="169" fontId="0" fillId="0" borderId="117" xfId="1" applyFont="1" applyFill="1" applyBorder="1"/>
    <xf numFmtId="0" fontId="0" fillId="2" borderId="36" xfId="0" applyFill="1" applyBorder="1"/>
    <xf numFmtId="0" fontId="0" fillId="2" borderId="37" xfId="0" applyFill="1" applyBorder="1"/>
    <xf numFmtId="0" fontId="0" fillId="2" borderId="38" xfId="0" applyFill="1" applyBorder="1"/>
    <xf numFmtId="43" fontId="0" fillId="0" borderId="0" xfId="13" applyFont="1"/>
    <xf numFmtId="0" fontId="54" fillId="0" borderId="0" xfId="0" applyFont="1" applyAlignment="1">
      <alignment horizontal="right"/>
    </xf>
    <xf numFmtId="174" fontId="0" fillId="0" borderId="0" xfId="13" applyNumberFormat="1" applyFont="1"/>
    <xf numFmtId="8" fontId="0" fillId="0" borderId="0" xfId="0" applyNumberFormat="1"/>
    <xf numFmtId="10" fontId="0" fillId="0" borderId="0" xfId="0" applyNumberFormat="1" applyAlignment="1">
      <alignment horizontal="right"/>
    </xf>
    <xf numFmtId="0" fontId="0" fillId="0" borderId="0" xfId="0" applyAlignment="1">
      <alignment vertical="top" wrapText="1"/>
    </xf>
    <xf numFmtId="0" fontId="0" fillId="0" borderId="28" xfId="0" applyBorder="1" applyAlignment="1">
      <alignment horizontal="left" wrapText="1"/>
    </xf>
    <xf numFmtId="0" fontId="0" fillId="0" borderId="28" xfId="0" applyBorder="1" applyAlignment="1">
      <alignment horizontal="center" vertical="center"/>
    </xf>
    <xf numFmtId="0" fontId="0" fillId="0" borderId="28" xfId="0" applyBorder="1" applyAlignment="1">
      <alignment vertical="top" wrapText="1"/>
    </xf>
    <xf numFmtId="0" fontId="0" fillId="0" borderId="28" xfId="0" applyBorder="1" applyAlignment="1">
      <alignment wrapText="1"/>
    </xf>
    <xf numFmtId="0" fontId="0" fillId="0" borderId="28" xfId="0" applyBorder="1" applyAlignment="1">
      <alignment vertical="top"/>
    </xf>
    <xf numFmtId="0" fontId="0" fillId="17" borderId="28" xfId="0" applyFill="1" applyBorder="1" applyAlignment="1">
      <alignment horizontal="center" vertical="center"/>
    </xf>
    <xf numFmtId="0" fontId="0" fillId="18" borderId="28" xfId="0" applyFill="1" applyBorder="1" applyAlignment="1">
      <alignment horizontal="center" vertical="center"/>
    </xf>
    <xf numFmtId="0" fontId="0" fillId="12" borderId="28" xfId="0" applyFill="1" applyBorder="1" applyAlignment="1">
      <alignment horizontal="center" vertical="center"/>
    </xf>
    <xf numFmtId="0" fontId="3" fillId="19" borderId="28" xfId="0" applyFont="1" applyFill="1" applyBorder="1" applyAlignment="1">
      <alignment horizontal="center"/>
    </xf>
    <xf numFmtId="0" fontId="0" fillId="19" borderId="28" xfId="0" applyFill="1" applyBorder="1"/>
    <xf numFmtId="2" fontId="0" fillId="0" borderId="0" xfId="2" applyNumberFormat="1" applyFont="1"/>
    <xf numFmtId="0" fontId="54" fillId="0" borderId="0" xfId="0" applyFont="1" applyAlignment="1">
      <alignment vertical="top"/>
    </xf>
    <xf numFmtId="2" fontId="0" fillId="0" borderId="0" xfId="2" applyNumberFormat="1" applyFont="1" applyAlignment="1">
      <alignment horizontal="left"/>
    </xf>
    <xf numFmtId="43" fontId="0" fillId="0" borderId="0" xfId="13" applyFont="1" applyFill="1" applyAlignment="1">
      <alignment horizontal="center"/>
    </xf>
    <xf numFmtId="0" fontId="54" fillId="0" borderId="0" xfId="0" applyFont="1" applyAlignment="1">
      <alignment horizontal="left" vertical="top" wrapText="1"/>
    </xf>
    <xf numFmtId="0" fontId="54" fillId="0" borderId="0" xfId="0" applyFont="1" applyAlignment="1">
      <alignment vertical="top" wrapText="1"/>
    </xf>
    <xf numFmtId="0" fontId="29" fillId="3" borderId="73" xfId="0" applyFont="1" applyFill="1" applyBorder="1" applyAlignment="1">
      <alignment horizontal="center" vertical="center"/>
    </xf>
    <xf numFmtId="0" fontId="29" fillId="3" borderId="84" xfId="0" applyFont="1" applyFill="1" applyBorder="1" applyAlignment="1">
      <alignment horizontal="center" vertical="center"/>
    </xf>
    <xf numFmtId="0" fontId="29" fillId="3" borderId="97" xfId="0" applyFont="1" applyFill="1" applyBorder="1" applyAlignment="1">
      <alignment horizontal="center" vertical="center"/>
    </xf>
    <xf numFmtId="0" fontId="23" fillId="16" borderId="0" xfId="0" applyFont="1" applyFill="1" applyAlignment="1">
      <alignment horizontal="left" vertical="center" wrapText="1"/>
    </xf>
    <xf numFmtId="0" fontId="24" fillId="16" borderId="0" xfId="0" applyFont="1" applyFill="1" applyAlignment="1">
      <alignment horizontal="left" vertical="center" wrapText="1"/>
    </xf>
    <xf numFmtId="0" fontId="24" fillId="0" borderId="32" xfId="0" applyFont="1" applyBorder="1" applyAlignment="1">
      <alignment horizontal="center"/>
    </xf>
    <xf numFmtId="0" fontId="24" fillId="16" borderId="32" xfId="0" applyFont="1" applyFill="1" applyBorder="1" applyAlignment="1">
      <alignment horizontal="center"/>
    </xf>
    <xf numFmtId="0" fontId="24" fillId="16" borderId="33" xfId="0" applyFont="1" applyFill="1" applyBorder="1" applyAlignment="1">
      <alignment horizontal="center"/>
    </xf>
    <xf numFmtId="0" fontId="51" fillId="0" borderId="31" xfId="0" applyFont="1" applyBorder="1" applyAlignment="1">
      <alignment horizontal="center" vertical="center"/>
    </xf>
    <xf numFmtId="0" fontId="51" fillId="0" borderId="32" xfId="0" applyFont="1" applyBorder="1" applyAlignment="1">
      <alignment horizontal="center" vertical="center"/>
    </xf>
    <xf numFmtId="0" fontId="51" fillId="0" borderId="33"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23" fillId="16" borderId="37" xfId="0" applyFont="1" applyFill="1" applyBorder="1" applyAlignment="1">
      <alignment horizontal="left" vertical="center" wrapText="1"/>
    </xf>
    <xf numFmtId="0" fontId="6" fillId="4" borderId="13" xfId="5" applyNumberFormat="1" applyFont="1" applyFill="1" applyBorder="1" applyAlignment="1" applyProtection="1">
      <alignment horizontal="center" vertical="center" wrapText="1"/>
    </xf>
    <xf numFmtId="0" fontId="6" fillId="4" borderId="15" xfId="5" applyNumberFormat="1" applyFont="1" applyFill="1" applyBorder="1" applyAlignment="1" applyProtection="1">
      <alignment horizontal="center" vertical="center" wrapText="1"/>
    </xf>
    <xf numFmtId="0" fontId="20" fillId="5" borderId="0" xfId="0" applyFont="1" applyFill="1" applyAlignment="1">
      <alignment horizontal="center" vertical="center" wrapText="1"/>
    </xf>
    <xf numFmtId="0" fontId="0" fillId="4" borderId="0" xfId="0" applyFill="1" applyAlignment="1">
      <alignment horizontal="center" wrapText="1"/>
    </xf>
    <xf numFmtId="0" fontId="6" fillId="4" borderId="12" xfId="5" applyNumberFormat="1" applyFont="1" applyFill="1" applyBorder="1" applyAlignment="1" applyProtection="1">
      <alignment horizontal="center" vertical="center" wrapText="1"/>
    </xf>
    <xf numFmtId="0" fontId="6" fillId="4" borderId="14" xfId="5" applyNumberFormat="1" applyFont="1" applyFill="1" applyBorder="1" applyAlignment="1" applyProtection="1">
      <alignment horizontal="center" vertical="center" wrapText="1"/>
    </xf>
    <xf numFmtId="0" fontId="7" fillId="3" borderId="3" xfId="0" applyFont="1" applyFill="1" applyBorder="1" applyAlignment="1">
      <alignment horizontal="center" wrapText="1"/>
    </xf>
    <xf numFmtId="0" fontId="7" fillId="3" borderId="3" xfId="0" applyFont="1" applyFill="1" applyBorder="1" applyAlignment="1">
      <alignment horizontal="center" vertical="center" wrapText="1"/>
    </xf>
    <xf numFmtId="0" fontId="6" fillId="4" borderId="4" xfId="5" applyNumberFormat="1" applyFont="1" applyFill="1" applyBorder="1" applyAlignment="1" applyProtection="1">
      <alignment horizontal="center" vertical="center" wrapText="1"/>
    </xf>
    <xf numFmtId="0" fontId="6" fillId="4" borderId="5" xfId="5" applyNumberFormat="1" applyFont="1" applyFill="1" applyBorder="1" applyAlignment="1" applyProtection="1">
      <alignment horizontal="center" vertical="center" wrapText="1"/>
    </xf>
    <xf numFmtId="0" fontId="6" fillId="4" borderId="6" xfId="5" applyNumberFormat="1" applyFont="1" applyFill="1" applyBorder="1" applyAlignment="1" applyProtection="1">
      <alignment horizontal="center" vertical="center" wrapText="1"/>
    </xf>
    <xf numFmtId="9" fontId="0" fillId="4" borderId="7" xfId="2" applyFont="1" applyFill="1" applyBorder="1" applyAlignment="1">
      <alignment horizontal="center" vertical="center"/>
    </xf>
    <xf numFmtId="9" fontId="0" fillId="4" borderId="20" xfId="2" applyFont="1" applyFill="1" applyBorder="1" applyAlignment="1">
      <alignment horizontal="center" vertical="center"/>
    </xf>
    <xf numFmtId="9" fontId="0" fillId="4" borderId="18" xfId="2" applyFont="1" applyFill="1" applyBorder="1" applyAlignment="1">
      <alignment horizontal="center" vertical="center"/>
    </xf>
    <xf numFmtId="9" fontId="0" fillId="4" borderId="19" xfId="2" applyFont="1" applyFill="1" applyBorder="1" applyAlignment="1">
      <alignment horizontal="center" vertical="center"/>
    </xf>
    <xf numFmtId="9" fontId="0" fillId="4" borderId="21" xfId="2" applyFont="1" applyFill="1" applyBorder="1" applyAlignment="1">
      <alignment horizontal="center" vertical="center"/>
    </xf>
    <xf numFmtId="9" fontId="0" fillId="4" borderId="22" xfId="2" applyFont="1" applyFill="1" applyBorder="1" applyAlignment="1">
      <alignment horizontal="center" vertical="center"/>
    </xf>
    <xf numFmtId="0" fontId="0" fillId="4" borderId="5" xfId="0" applyFill="1" applyBorder="1" applyAlignment="1">
      <alignment horizontal="center" wrapText="1"/>
    </xf>
    <xf numFmtId="0" fontId="0" fillId="4" borderId="15" xfId="0" applyFill="1" applyBorder="1" applyAlignment="1">
      <alignment horizontal="center" wrapText="1"/>
    </xf>
    <xf numFmtId="0" fontId="0" fillId="4" borderId="11" xfId="0" applyFill="1" applyBorder="1" applyAlignment="1">
      <alignment horizontal="center" wrapText="1"/>
    </xf>
    <xf numFmtId="0" fontId="0" fillId="4" borderId="14" xfId="0" applyFill="1" applyBorder="1" applyAlignment="1">
      <alignment horizontal="center" wrapText="1"/>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7" fillId="3" borderId="16" xfId="0" applyFont="1" applyFill="1" applyBorder="1" applyAlignment="1">
      <alignment horizontal="center"/>
    </xf>
    <xf numFmtId="0" fontId="3" fillId="0" borderId="0" xfId="0" applyFont="1" applyAlignment="1">
      <alignment horizontal="center"/>
    </xf>
    <xf numFmtId="0" fontId="54" fillId="0" borderId="0" xfId="0" applyFont="1" applyAlignment="1">
      <alignment horizontal="left" vertical="top" wrapText="1"/>
    </xf>
    <xf numFmtId="0" fontId="0" fillId="0" borderId="0" xfId="0" applyAlignment="1">
      <alignment horizontal="left" vertical="top" wrapText="1"/>
    </xf>
    <xf numFmtId="0" fontId="0" fillId="18" borderId="28" xfId="0" applyFill="1" applyBorder="1" applyAlignment="1">
      <alignment horizontal="center" vertical="center"/>
    </xf>
    <xf numFmtId="0" fontId="0" fillId="0" borderId="28" xfId="0" applyBorder="1" applyAlignment="1">
      <alignment horizontal="left" vertical="top" wrapText="1"/>
    </xf>
    <xf numFmtId="0" fontId="0" fillId="19" borderId="28" xfId="0" applyFill="1" applyBorder="1" applyAlignment="1">
      <alignment horizontal="left" vertical="center"/>
    </xf>
    <xf numFmtId="0" fontId="3" fillId="0" borderId="1" xfId="0" applyFont="1" applyBorder="1" applyAlignment="1">
      <alignment horizontal="center"/>
    </xf>
    <xf numFmtId="0" fontId="0" fillId="0" borderId="28" xfId="0" applyBorder="1" applyAlignment="1">
      <alignment horizontal="left" vertical="top"/>
    </xf>
    <xf numFmtId="0" fontId="0" fillId="0" borderId="0" xfId="0" applyAlignment="1">
      <alignment horizontal="center"/>
    </xf>
    <xf numFmtId="0" fontId="0" fillId="0" borderId="28" xfId="0" applyBorder="1" applyAlignment="1">
      <alignment horizontal="left" wrapText="1"/>
    </xf>
    <xf numFmtId="0" fontId="3" fillId="19" borderId="28" xfId="0" applyFont="1" applyFill="1" applyBorder="1" applyAlignment="1">
      <alignment horizontal="center"/>
    </xf>
    <xf numFmtId="0" fontId="0" fillId="0" borderId="28" xfId="0" applyBorder="1" applyAlignment="1">
      <alignment horizontal="left"/>
    </xf>
    <xf numFmtId="0" fontId="0" fillId="0" borderId="28" xfId="0" applyBorder="1" applyAlignment="1">
      <alignment horizontal="center" vertical="center"/>
    </xf>
    <xf numFmtId="0" fontId="0" fillId="12" borderId="28" xfId="0" applyFill="1" applyBorder="1" applyAlignment="1">
      <alignment horizontal="center" vertical="center"/>
    </xf>
    <xf numFmtId="0" fontId="50" fillId="6" borderId="28" xfId="0" applyFont="1" applyFill="1" applyBorder="1" applyAlignment="1">
      <alignment horizontal="center" wrapText="1"/>
    </xf>
    <xf numFmtId="0" fontId="6" fillId="7" borderId="28" xfId="0" applyFont="1" applyFill="1" applyBorder="1" applyAlignment="1">
      <alignment horizontal="center" wrapText="1"/>
    </xf>
    <xf numFmtId="0" fontId="0" fillId="7" borderId="28" xfId="0" applyFill="1" applyBorder="1" applyAlignment="1">
      <alignment wrapText="1"/>
    </xf>
    <xf numFmtId="0" fontId="0" fillId="7" borderId="28" xfId="0" applyFill="1" applyBorder="1"/>
    <xf numFmtId="0" fontId="6" fillId="7" borderId="28" xfId="0" applyFont="1" applyFill="1" applyBorder="1" applyAlignment="1">
      <alignment horizontal="center"/>
    </xf>
    <xf numFmtId="0" fontId="0" fillId="0" borderId="88" xfId="0" applyBorder="1" applyAlignment="1">
      <alignment horizontal="center" vertical="center" wrapText="1"/>
    </xf>
    <xf numFmtId="0" fontId="0" fillId="0" borderId="90" xfId="0" applyBorder="1" applyAlignment="1">
      <alignment horizontal="center" vertical="center" wrapText="1"/>
    </xf>
    <xf numFmtId="0" fontId="0" fillId="0" borderId="91" xfId="0" applyBorder="1" applyAlignment="1">
      <alignment horizontal="center" vertical="center" wrapText="1"/>
    </xf>
    <xf numFmtId="0" fontId="0" fillId="0" borderId="28" xfId="0" applyBorder="1" applyAlignment="1">
      <alignment horizontal="center" vertical="center" wrapText="1"/>
    </xf>
    <xf numFmtId="0" fontId="34" fillId="0" borderId="39" xfId="0" applyFont="1" applyBorder="1" applyAlignment="1">
      <alignment horizontal="center"/>
    </xf>
    <xf numFmtId="0" fontId="34" fillId="0" borderId="40" xfId="0" applyFont="1" applyBorder="1" applyAlignment="1">
      <alignment horizontal="center"/>
    </xf>
    <xf numFmtId="0" fontId="34" fillId="0" borderId="41" xfId="0" applyFont="1" applyBorder="1" applyAlignment="1">
      <alignment horizontal="center"/>
    </xf>
    <xf numFmtId="0" fontId="0" fillId="0" borderId="88" xfId="0" applyBorder="1" applyAlignment="1">
      <alignment horizontal="center" vertical="center"/>
    </xf>
    <xf numFmtId="0" fontId="0" fillId="0" borderId="91" xfId="0" applyBorder="1" applyAlignment="1">
      <alignment horizontal="center" vertical="center"/>
    </xf>
    <xf numFmtId="0" fontId="42" fillId="0" borderId="31" xfId="0" applyFont="1" applyBorder="1" applyAlignment="1">
      <alignment horizontal="center" vertical="center"/>
    </xf>
    <xf numFmtId="0" fontId="42" fillId="0" borderId="33" xfId="0" applyFont="1" applyBorder="1" applyAlignment="1">
      <alignment horizontal="center" vertical="center"/>
    </xf>
    <xf numFmtId="0" fontId="42" fillId="0" borderId="36" xfId="0" applyFont="1" applyBorder="1" applyAlignment="1">
      <alignment horizontal="center" vertical="center"/>
    </xf>
    <xf numFmtId="0" fontId="42" fillId="0" borderId="38" xfId="0" applyFont="1" applyBorder="1" applyAlignment="1">
      <alignment horizontal="center" vertical="center"/>
    </xf>
    <xf numFmtId="0" fontId="41" fillId="0" borderId="113" xfId="0" applyFont="1" applyBorder="1" applyAlignment="1">
      <alignment horizontal="center" vertical="center" wrapText="1"/>
    </xf>
    <xf numFmtId="0" fontId="41" fillId="0" borderId="107" xfId="0" applyFont="1" applyBorder="1" applyAlignment="1">
      <alignment horizontal="center" vertical="center" wrapText="1"/>
    </xf>
    <xf numFmtId="0" fontId="41" fillId="0" borderId="114" xfId="0" applyFont="1" applyBorder="1" applyAlignment="1">
      <alignment horizontal="center" vertical="center" wrapText="1"/>
    </xf>
    <xf numFmtId="0" fontId="41" fillId="0" borderId="115" xfId="0" applyFont="1" applyBorder="1" applyAlignment="1">
      <alignment horizontal="center" vertical="center" wrapText="1"/>
    </xf>
    <xf numFmtId="0" fontId="41" fillId="0" borderId="1" xfId="0" applyFont="1" applyBorder="1" applyAlignment="1">
      <alignment horizontal="center" vertical="center" wrapText="1"/>
    </xf>
    <xf numFmtId="0" fontId="41" fillId="0" borderId="92" xfId="0" applyFont="1" applyBorder="1" applyAlignment="1">
      <alignment horizontal="center" vertical="center" wrapText="1"/>
    </xf>
    <xf numFmtId="0" fontId="0" fillId="0" borderId="90" xfId="0" applyBorder="1"/>
    <xf numFmtId="0" fontId="29" fillId="0" borderId="0" xfId="0" applyFont="1" applyAlignment="1">
      <alignment horizontal="left" wrapText="1"/>
    </xf>
    <xf numFmtId="0" fontId="29" fillId="0" borderId="35" xfId="0" applyFont="1" applyBorder="1" applyAlignment="1">
      <alignment horizontal="left" wrapText="1"/>
    </xf>
    <xf numFmtId="0" fontId="41" fillId="0" borderId="28" xfId="0" applyFont="1" applyBorder="1" applyAlignment="1">
      <alignment horizontal="center" vertical="center" wrapText="1"/>
    </xf>
    <xf numFmtId="0" fontId="32" fillId="10" borderId="107" xfId="0" applyFont="1" applyFill="1" applyBorder="1" applyAlignment="1">
      <alignment horizontal="center" vertical="center" wrapText="1"/>
    </xf>
    <xf numFmtId="0" fontId="32" fillId="10" borderId="108" xfId="0" applyFont="1" applyFill="1" applyBorder="1" applyAlignment="1">
      <alignment horizontal="center" vertical="center" wrapText="1"/>
    </xf>
    <xf numFmtId="0" fontId="32" fillId="10" borderId="0" xfId="0" applyFont="1" applyFill="1" applyAlignment="1">
      <alignment horizontal="center" vertical="center" wrapText="1"/>
    </xf>
    <xf numFmtId="0" fontId="32" fillId="10" borderId="35" xfId="0" applyFont="1" applyFill="1" applyBorder="1" applyAlignment="1">
      <alignment horizontal="center" vertical="center" wrapText="1"/>
    </xf>
    <xf numFmtId="0" fontId="36" fillId="0" borderId="0" xfId="0" applyFont="1" applyAlignment="1">
      <alignment horizontal="left"/>
    </xf>
    <xf numFmtId="0" fontId="36" fillId="0" borderId="109" xfId="0" applyFont="1" applyBorder="1" applyAlignment="1">
      <alignment horizontal="left"/>
    </xf>
    <xf numFmtId="0" fontId="36" fillId="0" borderId="0" xfId="0" applyFont="1" applyAlignment="1">
      <alignment horizontal="left" vertical="center" wrapText="1"/>
    </xf>
    <xf numFmtId="0" fontId="36" fillId="0" borderId="109" xfId="0" applyFont="1" applyBorder="1" applyAlignment="1">
      <alignment horizontal="left" vertical="center" wrapText="1"/>
    </xf>
    <xf numFmtId="0" fontId="36" fillId="0" borderId="0" xfId="0" applyFont="1" applyAlignment="1">
      <alignment wrapText="1"/>
    </xf>
    <xf numFmtId="0" fontId="0" fillId="0" borderId="109" xfId="0" applyBorder="1" applyAlignment="1">
      <alignment wrapText="1"/>
    </xf>
    <xf numFmtId="0" fontId="44" fillId="11" borderId="0" xfId="0" applyFont="1" applyFill="1" applyAlignment="1">
      <alignment horizontal="center"/>
    </xf>
    <xf numFmtId="0" fontId="44" fillId="11" borderId="35" xfId="0" applyFont="1" applyFill="1" applyBorder="1" applyAlignment="1">
      <alignment horizontal="center"/>
    </xf>
    <xf numFmtId="0" fontId="45" fillId="12" borderId="0" xfId="0" applyFont="1" applyFill="1" applyAlignment="1">
      <alignment horizontal="center"/>
    </xf>
    <xf numFmtId="0" fontId="45" fillId="13" borderId="0" xfId="0" applyFont="1" applyFill="1" applyAlignment="1">
      <alignment horizontal="center"/>
    </xf>
    <xf numFmtId="0" fontId="29" fillId="0" borderId="0" xfId="0" applyFont="1" applyAlignment="1">
      <alignment horizontal="center" wrapText="1"/>
    </xf>
    <xf numFmtId="0" fontId="37" fillId="0" borderId="54" xfId="0" applyFont="1" applyBorder="1" applyAlignment="1">
      <alignment horizontal="center" vertical="center" textRotation="90" wrapText="1"/>
    </xf>
    <xf numFmtId="0" fontId="37" fillId="0" borderId="48" xfId="0" applyFont="1" applyBorder="1" applyAlignment="1">
      <alignment horizontal="center" vertical="center" textRotation="90" wrapText="1"/>
    </xf>
    <xf numFmtId="0" fontId="33" fillId="0" borderId="42" xfId="0" applyFont="1" applyBorder="1" applyAlignment="1">
      <alignment horizontal="center" vertical="center" wrapText="1"/>
    </xf>
    <xf numFmtId="0" fontId="33" fillId="0" borderId="50" xfId="0" applyFont="1" applyBorder="1" applyAlignment="1">
      <alignment horizontal="center" vertical="center" wrapText="1"/>
    </xf>
    <xf numFmtId="0" fontId="33" fillId="0" borderId="58" xfId="0" applyFont="1" applyBorder="1" applyAlignment="1">
      <alignment horizontal="center" vertical="center" wrapText="1"/>
    </xf>
    <xf numFmtId="0" fontId="34" fillId="0" borderId="43" xfId="0" applyFont="1" applyBorder="1" applyAlignment="1">
      <alignment horizontal="center" vertical="center" wrapText="1"/>
    </xf>
    <xf numFmtId="0" fontId="34" fillId="0" borderId="51" xfId="0" applyFont="1" applyBorder="1" applyAlignment="1">
      <alignment horizontal="center" vertical="center" wrapText="1"/>
    </xf>
    <xf numFmtId="0" fontId="34" fillId="0" borderId="59" xfId="0" applyFont="1" applyBorder="1" applyAlignment="1">
      <alignment horizontal="center" vertical="center" wrapText="1"/>
    </xf>
    <xf numFmtId="0" fontId="33" fillId="0" borderId="43" xfId="0" applyFont="1" applyBorder="1" applyAlignment="1">
      <alignment horizontal="center" vertical="center"/>
    </xf>
    <xf numFmtId="0" fontId="33" fillId="0" borderId="51" xfId="0" applyFont="1" applyBorder="1" applyAlignment="1">
      <alignment horizontal="center" vertical="center"/>
    </xf>
    <xf numFmtId="0" fontId="33" fillId="0" borderId="59" xfId="0" applyFont="1" applyBorder="1" applyAlignment="1">
      <alignment horizontal="center" vertical="center"/>
    </xf>
    <xf numFmtId="0" fontId="34" fillId="0" borderId="52" xfId="0" applyFont="1" applyBorder="1" applyAlignment="1">
      <alignment horizontal="center" vertical="center" wrapText="1"/>
    </xf>
    <xf numFmtId="0" fontId="34" fillId="0" borderId="60"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46" xfId="0" applyFont="1" applyBorder="1" applyAlignment="1">
      <alignment horizontal="center" vertical="center" wrapText="1"/>
    </xf>
    <xf numFmtId="0" fontId="29" fillId="0" borderId="31" xfId="0" applyFont="1" applyBorder="1" applyAlignment="1">
      <alignment horizontal="center"/>
    </xf>
    <xf numFmtId="0" fontId="29" fillId="0" borderId="34" xfId="0" applyFont="1" applyBorder="1" applyAlignment="1">
      <alignment horizontal="center"/>
    </xf>
    <xf numFmtId="0" fontId="30" fillId="0" borderId="31" xfId="0" applyFont="1" applyBorder="1" applyAlignment="1">
      <alignment horizontal="center" vertical="center" wrapText="1"/>
    </xf>
    <xf numFmtId="0" fontId="30" fillId="0" borderId="32" xfId="0" applyFont="1" applyBorder="1" applyAlignment="1">
      <alignment horizontal="center" vertical="center" wrapText="1"/>
    </xf>
    <xf numFmtId="0" fontId="30" fillId="0" borderId="33" xfId="0" applyFont="1" applyBorder="1" applyAlignment="1">
      <alignment horizontal="center" vertical="center" wrapText="1"/>
    </xf>
    <xf numFmtId="0" fontId="30" fillId="0" borderId="34" xfId="0" applyFont="1" applyBorder="1" applyAlignment="1">
      <alignment horizontal="center" vertical="center" wrapText="1"/>
    </xf>
    <xf numFmtId="0" fontId="30" fillId="0" borderId="0" xfId="0" applyFont="1" applyAlignment="1">
      <alignment horizontal="center" vertical="center" wrapText="1"/>
    </xf>
    <xf numFmtId="0" fontId="30" fillId="0" borderId="35" xfId="0" applyFont="1" applyBorder="1" applyAlignment="1">
      <alignment horizontal="center" vertical="center" wrapText="1"/>
    </xf>
    <xf numFmtId="0" fontId="30" fillId="0" borderId="36" xfId="0" applyFont="1" applyBorder="1" applyAlignment="1">
      <alignment horizontal="center" vertical="center" wrapText="1"/>
    </xf>
    <xf numFmtId="0" fontId="30" fillId="0" borderId="37" xfId="0" applyFont="1" applyBorder="1" applyAlignment="1">
      <alignment horizontal="center" vertical="center" wrapText="1"/>
    </xf>
    <xf numFmtId="0" fontId="30" fillId="0" borderId="38" xfId="0" applyFont="1" applyBorder="1" applyAlignment="1">
      <alignment horizontal="center" vertical="center" wrapText="1"/>
    </xf>
    <xf numFmtId="0" fontId="31" fillId="0" borderId="31" xfId="0" applyFont="1" applyBorder="1" applyAlignment="1">
      <alignment horizontal="center" vertical="center" wrapText="1"/>
    </xf>
    <xf numFmtId="0" fontId="31" fillId="0" borderId="32" xfId="0" applyFont="1" applyBorder="1" applyAlignment="1">
      <alignment horizontal="center" vertical="center" wrapText="1"/>
    </xf>
    <xf numFmtId="0" fontId="31" fillId="0" borderId="33" xfId="0" applyFont="1" applyBorder="1" applyAlignment="1">
      <alignment horizontal="center" vertical="center" wrapText="1"/>
    </xf>
    <xf numFmtId="0" fontId="31" fillId="0" borderId="34" xfId="0" applyFont="1" applyBorder="1" applyAlignment="1">
      <alignment horizontal="center" vertical="center" wrapText="1"/>
    </xf>
    <xf numFmtId="0" fontId="31" fillId="0" borderId="0" xfId="0" applyFont="1" applyAlignment="1">
      <alignment horizontal="center" vertical="center" wrapText="1"/>
    </xf>
    <xf numFmtId="0" fontId="31" fillId="0" borderId="35" xfId="0" applyFont="1" applyBorder="1" applyAlignment="1">
      <alignment horizontal="center" vertical="center" wrapText="1"/>
    </xf>
    <xf numFmtId="0" fontId="31" fillId="0" borderId="36" xfId="0" applyFont="1" applyBorder="1" applyAlignment="1">
      <alignment horizontal="center" vertical="center" wrapText="1"/>
    </xf>
    <xf numFmtId="0" fontId="31" fillId="0" borderId="37" xfId="0" applyFont="1" applyBorder="1" applyAlignment="1">
      <alignment horizontal="center" vertical="center" wrapText="1"/>
    </xf>
    <xf numFmtId="0" fontId="31" fillId="0" borderId="38" xfId="0" applyFont="1" applyBorder="1" applyAlignment="1">
      <alignment horizontal="center" vertical="center" wrapText="1"/>
    </xf>
    <xf numFmtId="0" fontId="32" fillId="0" borderId="31" xfId="0" applyFont="1" applyBorder="1" applyAlignment="1">
      <alignment horizontal="center" vertical="center"/>
    </xf>
    <xf numFmtId="0" fontId="32" fillId="0" borderId="32" xfId="0" applyFont="1" applyBorder="1" applyAlignment="1">
      <alignment horizontal="center" vertical="center"/>
    </xf>
    <xf numFmtId="0" fontId="32" fillId="0" borderId="33" xfId="0" applyFont="1" applyBorder="1" applyAlignment="1">
      <alignment horizontal="center" vertical="center"/>
    </xf>
    <xf numFmtId="0" fontId="32" fillId="0" borderId="39" xfId="0" applyFont="1" applyBorder="1" applyAlignment="1">
      <alignment horizontal="center" vertical="center"/>
    </xf>
    <xf numFmtId="0" fontId="32" fillId="0" borderId="40" xfId="0" applyFont="1" applyBorder="1" applyAlignment="1">
      <alignment horizontal="center" vertical="center"/>
    </xf>
    <xf numFmtId="0" fontId="32" fillId="0" borderId="41" xfId="0" applyFont="1" applyBorder="1" applyAlignment="1">
      <alignment horizontal="center" vertical="center"/>
    </xf>
    <xf numFmtId="0" fontId="36" fillId="0" borderId="47" xfId="0" applyFont="1" applyBorder="1" applyAlignment="1">
      <alignment horizontal="center" vertical="center"/>
    </xf>
    <xf numFmtId="0" fontId="36" fillId="0" borderId="48" xfId="0" applyFont="1" applyBorder="1" applyAlignment="1">
      <alignment horizontal="center" vertical="center"/>
    </xf>
    <xf numFmtId="0" fontId="36" fillId="0" borderId="49" xfId="0" applyFont="1" applyBorder="1" applyAlignment="1">
      <alignment horizontal="center" vertical="center"/>
    </xf>
    <xf numFmtId="0" fontId="36" fillId="0" borderId="40" xfId="0" applyFont="1" applyBorder="1" applyAlignment="1">
      <alignment horizontal="center" vertical="center"/>
    </xf>
    <xf numFmtId="0" fontId="36" fillId="0" borderId="41" xfId="0" applyFont="1" applyBorder="1" applyAlignment="1">
      <alignment horizontal="center" vertical="center"/>
    </xf>
    <xf numFmtId="0" fontId="31" fillId="0" borderId="53" xfId="0" applyFont="1" applyBorder="1" applyAlignment="1">
      <alignment horizontal="left" vertical="center" textRotation="90" wrapText="1"/>
    </xf>
    <xf numFmtId="0" fontId="31" fillId="0" borderId="54" xfId="0" applyFont="1" applyBorder="1" applyAlignment="1">
      <alignment horizontal="left" vertical="center" textRotation="90" wrapText="1"/>
    </xf>
    <xf numFmtId="0" fontId="31" fillId="0" borderId="47" xfId="0" applyFont="1" applyBorder="1" applyAlignment="1">
      <alignment horizontal="left" vertical="center" textRotation="90" wrapText="1"/>
    </xf>
    <xf numFmtId="0" fontId="31" fillId="0" borderId="48" xfId="0" applyFont="1" applyBorder="1" applyAlignment="1">
      <alignment horizontal="left" vertical="center" textRotation="90" wrapText="1"/>
    </xf>
    <xf numFmtId="0" fontId="37" fillId="0" borderId="57" xfId="0" applyFont="1" applyBorder="1" applyAlignment="1">
      <alignment horizontal="center" vertical="center" textRotation="90" wrapText="1"/>
    </xf>
    <xf numFmtId="0" fontId="37" fillId="0" borderId="64" xfId="0" applyFont="1" applyBorder="1" applyAlignment="1">
      <alignment horizontal="center" vertical="center" textRotation="90" wrapText="1"/>
    </xf>
    <xf numFmtId="0" fontId="31" fillId="0" borderId="55" xfId="0" applyFont="1" applyBorder="1" applyAlignment="1">
      <alignment horizontal="left" vertical="center" textRotation="90" wrapText="1"/>
    </xf>
    <xf numFmtId="0" fontId="31" fillId="0" borderId="61" xfId="0" applyFont="1" applyBorder="1" applyAlignment="1">
      <alignment horizontal="left" vertical="center" textRotation="90" wrapText="1"/>
    </xf>
    <xf numFmtId="0" fontId="37" fillId="0" borderId="56" xfId="0" applyFont="1" applyBorder="1" applyAlignment="1">
      <alignment horizontal="center" vertical="center" textRotation="90" wrapText="1"/>
    </xf>
    <xf numFmtId="0" fontId="37" fillId="0" borderId="62" xfId="0" applyFont="1" applyBorder="1" applyAlignment="1">
      <alignment horizontal="center" vertical="center" textRotation="90" wrapText="1"/>
    </xf>
    <xf numFmtId="0" fontId="37" fillId="0" borderId="63" xfId="0" applyFont="1" applyBorder="1" applyAlignment="1">
      <alignment horizontal="center" vertical="center" textRotation="90" wrapText="1"/>
    </xf>
    <xf numFmtId="0" fontId="31" fillId="0" borderId="45" xfId="0" applyFont="1" applyBorder="1" applyAlignment="1">
      <alignment horizontal="left" vertical="center" textRotation="90" wrapText="1"/>
    </xf>
    <xf numFmtId="0" fontId="31" fillId="0" borderId="46" xfId="0" applyFont="1" applyBorder="1" applyAlignment="1">
      <alignment horizontal="left" vertical="center" textRotation="90" wrapText="1"/>
    </xf>
    <xf numFmtId="0" fontId="31" fillId="0" borderId="65" xfId="0" applyFont="1" applyBorder="1" applyAlignment="1">
      <alignment horizontal="left" vertical="center" textRotation="90" wrapText="1"/>
    </xf>
    <xf numFmtId="0" fontId="36" fillId="0" borderId="66" xfId="0" applyFont="1" applyBorder="1" applyAlignment="1">
      <alignment horizontal="center" vertical="center" textRotation="90" wrapText="1"/>
    </xf>
    <xf numFmtId="0" fontId="36" fillId="0" borderId="77" xfId="0" applyFont="1" applyBorder="1" applyAlignment="1">
      <alignment horizontal="center" vertical="center" textRotation="90" wrapText="1"/>
    </xf>
    <xf numFmtId="0" fontId="29" fillId="0" borderId="67" xfId="0" applyFont="1" applyBorder="1" applyAlignment="1">
      <alignment horizontal="left" vertical="center" wrapText="1"/>
    </xf>
    <xf numFmtId="0" fontId="29" fillId="0" borderId="78" xfId="0" applyFont="1" applyBorder="1" applyAlignment="1">
      <alignment horizontal="left" vertical="center" wrapText="1"/>
    </xf>
    <xf numFmtId="0" fontId="39" fillId="0" borderId="70" xfId="0" applyFont="1" applyBorder="1" applyAlignment="1">
      <alignment horizontal="center" vertical="center"/>
    </xf>
    <xf numFmtId="0" fontId="39" fillId="0" borderId="71" xfId="0" applyFont="1" applyBorder="1" applyAlignment="1">
      <alignment horizontal="center" vertical="center"/>
    </xf>
    <xf numFmtId="0" fontId="39" fillId="0" borderId="81" xfId="0" applyFont="1" applyBorder="1" applyAlignment="1">
      <alignment horizontal="center" vertical="center"/>
    </xf>
    <xf numFmtId="0" fontId="39" fillId="0" borderId="82" xfId="0" applyFont="1" applyBorder="1" applyAlignment="1">
      <alignment horizontal="center" vertical="center"/>
    </xf>
    <xf numFmtId="0" fontId="36" fillId="0" borderId="88" xfId="0" applyFont="1" applyBorder="1" applyAlignment="1">
      <alignment horizontal="center" vertical="center" textRotation="90" wrapText="1"/>
    </xf>
    <xf numFmtId="0" fontId="36" fillId="0" borderId="90" xfId="0" applyFont="1" applyBorder="1" applyAlignment="1">
      <alignment horizontal="center" vertical="center" textRotation="90" wrapText="1"/>
    </xf>
    <xf numFmtId="0" fontId="36" fillId="0" borderId="91" xfId="0" applyFont="1" applyBorder="1" applyAlignment="1">
      <alignment horizontal="center" vertical="center" textRotation="90" wrapText="1"/>
    </xf>
    <xf numFmtId="0" fontId="29" fillId="0" borderId="88" xfId="0" applyFont="1" applyBorder="1" applyAlignment="1">
      <alignment horizontal="left" vertical="center" wrapText="1"/>
    </xf>
    <xf numFmtId="0" fontId="29" fillId="0" borderId="91" xfId="0" applyFont="1" applyBorder="1" applyAlignment="1">
      <alignment horizontal="left" vertical="center" wrapText="1"/>
    </xf>
    <xf numFmtId="0" fontId="39" fillId="0" borderId="69" xfId="0" applyFont="1" applyBorder="1" applyAlignment="1">
      <alignment horizontal="center" vertical="center"/>
    </xf>
    <xf numFmtId="0" fontId="39" fillId="0" borderId="89" xfId="0" applyFont="1" applyBorder="1" applyAlignment="1">
      <alignment horizontal="center" vertical="center"/>
    </xf>
    <xf numFmtId="0" fontId="39" fillId="0" borderId="73" xfId="0" applyFont="1" applyBorder="1" applyAlignment="1">
      <alignment horizontal="center" vertical="center"/>
    </xf>
    <xf numFmtId="0" fontId="29" fillId="0" borderId="90" xfId="0" applyFont="1" applyBorder="1" applyAlignment="1">
      <alignment horizontal="left" vertical="center" wrapText="1"/>
    </xf>
    <xf numFmtId="0" fontId="39" fillId="0" borderId="94" xfId="0" applyFont="1" applyBorder="1" applyAlignment="1">
      <alignment horizontal="center" vertical="center"/>
    </xf>
    <xf numFmtId="0" fontId="39" fillId="0" borderId="95" xfId="0" applyFont="1" applyBorder="1" applyAlignment="1">
      <alignment horizontal="center" vertical="center"/>
    </xf>
    <xf numFmtId="0" fontId="29" fillId="0" borderId="110" xfId="0" applyFont="1" applyBorder="1" applyAlignment="1">
      <alignment horizontal="center"/>
    </xf>
    <xf numFmtId="0" fontId="29" fillId="0" borderId="85" xfId="0" applyFont="1" applyBorder="1" applyAlignment="1">
      <alignment horizontal="center"/>
    </xf>
    <xf numFmtId="0" fontId="38" fillId="8" borderId="112" xfId="0" applyFont="1" applyFill="1" applyBorder="1" applyAlignment="1">
      <alignment horizontal="center" vertical="center"/>
    </xf>
    <xf numFmtId="0" fontId="38" fillId="8" borderId="98" xfId="0" applyFont="1" applyFill="1" applyBorder="1" applyAlignment="1">
      <alignment horizontal="center" vertical="center"/>
    </xf>
    <xf numFmtId="0" fontId="29" fillId="0" borderId="112" xfId="0" applyFont="1" applyBorder="1" applyAlignment="1">
      <alignment horizontal="center"/>
    </xf>
    <xf numFmtId="0" fontId="29" fillId="0" borderId="98" xfId="0" applyFont="1" applyBorder="1" applyAlignment="1">
      <alignment horizontal="center"/>
    </xf>
    <xf numFmtId="0" fontId="29" fillId="0" borderId="111" xfId="0" applyFont="1" applyBorder="1" applyAlignment="1">
      <alignment horizontal="center"/>
    </xf>
    <xf numFmtId="0" fontId="29" fillId="0" borderId="74" xfId="0" applyFont="1" applyBorder="1" applyAlignment="1">
      <alignment horizontal="center"/>
    </xf>
    <xf numFmtId="0" fontId="29" fillId="9" borderId="39" xfId="0" applyFont="1" applyFill="1" applyBorder="1" applyAlignment="1">
      <alignment horizontal="center" wrapText="1"/>
    </xf>
    <xf numFmtId="0" fontId="29" fillId="9" borderId="40" xfId="0" applyFont="1" applyFill="1" applyBorder="1" applyAlignment="1">
      <alignment horizontal="center" wrapText="1"/>
    </xf>
    <xf numFmtId="0" fontId="29" fillId="9" borderId="41" xfId="0" applyFont="1" applyFill="1" applyBorder="1" applyAlignment="1">
      <alignment horizontal="center" wrapText="1"/>
    </xf>
    <xf numFmtId="0" fontId="29" fillId="8" borderId="39" xfId="0" applyFont="1" applyFill="1" applyBorder="1" applyAlignment="1">
      <alignment horizontal="center" wrapText="1"/>
    </xf>
    <xf numFmtId="0" fontId="29" fillId="8" borderId="40" xfId="0" applyFont="1" applyFill="1" applyBorder="1" applyAlignment="1">
      <alignment horizontal="center" wrapText="1"/>
    </xf>
    <xf numFmtId="0" fontId="29" fillId="8" borderId="41" xfId="0" applyFont="1" applyFill="1" applyBorder="1" applyAlignment="1">
      <alignment horizontal="center" wrapText="1"/>
    </xf>
    <xf numFmtId="0" fontId="38" fillId="0" borderId="111" xfId="0" applyFont="1" applyBorder="1" applyAlignment="1">
      <alignment horizontal="center" vertical="center"/>
    </xf>
    <xf numFmtId="0" fontId="38" fillId="0" borderId="74" xfId="0" applyFont="1" applyBorder="1" applyAlignment="1">
      <alignment horizontal="center" vertical="center"/>
    </xf>
    <xf numFmtId="0" fontId="38" fillId="0" borderId="110" xfId="0" applyFont="1" applyBorder="1" applyAlignment="1">
      <alignment horizontal="center" vertical="center"/>
    </xf>
    <xf numFmtId="0" fontId="38" fillId="0" borderId="85" xfId="0" applyFont="1" applyBorder="1" applyAlignment="1">
      <alignment horizontal="center" vertical="center"/>
    </xf>
    <xf numFmtId="0" fontId="38" fillId="8" borderId="110" xfId="0" applyFont="1" applyFill="1" applyBorder="1" applyAlignment="1">
      <alignment horizontal="center" vertical="center"/>
    </xf>
    <xf numFmtId="0" fontId="38" fillId="8" borderId="85" xfId="0" applyFont="1" applyFill="1" applyBorder="1" applyAlignment="1">
      <alignment horizontal="center" vertical="center"/>
    </xf>
    <xf numFmtId="0" fontId="47" fillId="0" borderId="88" xfId="0" applyFont="1" applyBorder="1" applyAlignment="1">
      <alignment horizontal="center" vertical="center" wrapText="1"/>
    </xf>
    <xf numFmtId="0" fontId="47" fillId="0" borderId="91" xfId="0" applyFont="1" applyBorder="1" applyAlignment="1">
      <alignment horizontal="center" vertical="center" wrapText="1"/>
    </xf>
    <xf numFmtId="0" fontId="0" fillId="0" borderId="34" xfId="0" applyBorder="1" applyAlignment="1">
      <alignment horizontal="left" vertical="center" wrapText="1"/>
    </xf>
    <xf numFmtId="0" fontId="0" fillId="0" borderId="0" xfId="0" applyAlignment="1">
      <alignment horizontal="left" vertical="center" wrapText="1"/>
    </xf>
    <xf numFmtId="0" fontId="0" fillId="0" borderId="34" xfId="0" applyBorder="1" applyAlignment="1">
      <alignment horizontal="left" wrapText="1"/>
    </xf>
    <xf numFmtId="0" fontId="0" fillId="0" borderId="0" xfId="0" applyAlignment="1">
      <alignment horizontal="left" wrapText="1"/>
    </xf>
    <xf numFmtId="0" fontId="0" fillId="0" borderId="35" xfId="0" applyBorder="1" applyAlignment="1">
      <alignment horizontal="left" wrapText="1"/>
    </xf>
    <xf numFmtId="0" fontId="0" fillId="0" borderId="35" xfId="0" applyBorder="1" applyAlignment="1">
      <alignment horizontal="left" vertical="center" wrapText="1"/>
    </xf>
    <xf numFmtId="0" fontId="53" fillId="5" borderId="31" xfId="0" applyFont="1" applyFill="1" applyBorder="1" applyAlignment="1">
      <alignment horizontal="center" vertical="center"/>
    </xf>
    <xf numFmtId="0" fontId="51" fillId="5" borderId="32" xfId="0" applyFont="1" applyFill="1" applyBorder="1" applyAlignment="1">
      <alignment horizontal="center" vertical="center"/>
    </xf>
    <xf numFmtId="0" fontId="51" fillId="5" borderId="33" xfId="0" applyFont="1" applyFill="1" applyBorder="1" applyAlignment="1">
      <alignment horizontal="center" vertical="center"/>
    </xf>
    <xf numFmtId="0" fontId="51" fillId="5" borderId="36" xfId="0" applyFont="1" applyFill="1" applyBorder="1" applyAlignment="1">
      <alignment horizontal="center" vertical="center"/>
    </xf>
    <xf numFmtId="0" fontId="51" fillId="5" borderId="37" xfId="0" applyFont="1" applyFill="1" applyBorder="1" applyAlignment="1">
      <alignment horizontal="center" vertical="center"/>
    </xf>
    <xf numFmtId="0" fontId="51" fillId="5" borderId="38" xfId="0" applyFont="1" applyFill="1" applyBorder="1" applyAlignment="1">
      <alignment horizontal="center" vertical="center"/>
    </xf>
    <xf numFmtId="0" fontId="24" fillId="0" borderId="34" xfId="0" applyFont="1" applyBorder="1" applyAlignment="1">
      <alignment horizontal="center"/>
    </xf>
    <xf numFmtId="0" fontId="24" fillId="0" borderId="0" xfId="0" applyFont="1" applyAlignment="1">
      <alignment horizontal="center"/>
    </xf>
    <xf numFmtId="0" fontId="24" fillId="0" borderId="35" xfId="0" applyFont="1" applyBorder="1" applyAlignment="1">
      <alignment horizontal="center"/>
    </xf>
    <xf numFmtId="0" fontId="23" fillId="0" borderId="0" xfId="0" applyFont="1" applyAlignment="1">
      <alignment horizontal="left" wrapText="1"/>
    </xf>
    <xf numFmtId="0" fontId="23" fillId="0" borderId="35" xfId="0" applyFont="1" applyBorder="1" applyAlignment="1">
      <alignment horizontal="left" wrapText="1"/>
    </xf>
  </cellXfs>
  <cellStyles count="15">
    <cellStyle name="Hipervínculo" xfId="12" builtinId="8"/>
    <cellStyle name="Millares" xfId="13" builtinId="3"/>
    <cellStyle name="Millares [0] 2" xfId="10" xr:uid="{00000000-0005-0000-0000-000002000000}"/>
    <cellStyle name="Millares 10" xfId="9" xr:uid="{00000000-0005-0000-0000-000003000000}"/>
    <cellStyle name="Millares 2" xfId="5" xr:uid="{00000000-0005-0000-0000-000004000000}"/>
    <cellStyle name="Millares 3" xfId="3" xr:uid="{00000000-0005-0000-0000-000005000000}"/>
    <cellStyle name="Millares_Modelo Financiero ACME Final" xfId="11" xr:uid="{00000000-0005-0000-0000-000006000000}"/>
    <cellStyle name="Moneda" xfId="14" builtinId="4"/>
    <cellStyle name="Moneda [0]" xfId="1" builtinId="7"/>
    <cellStyle name="Moneda 2" xfId="7" xr:uid="{00000000-0005-0000-0000-000008000000}"/>
    <cellStyle name="Moneda 3" xfId="4" xr:uid="{00000000-0005-0000-0000-000009000000}"/>
    <cellStyle name="Normal" xfId="0" builtinId="0"/>
    <cellStyle name="Porcentaje" xfId="2" builtinId="5"/>
    <cellStyle name="Porcentaje 2" xfId="6" xr:uid="{00000000-0005-0000-0000-00000C000000}"/>
    <cellStyle name="Porcentual 6" xfId="8" xr:uid="{00000000-0005-0000-0000-00000D000000}"/>
  </cellStyles>
  <dxfs count="7">
    <dxf>
      <font>
        <b/>
        <i val="0"/>
        <color rgb="FF92D050"/>
      </font>
    </dxf>
    <dxf>
      <font>
        <b/>
        <i val="0"/>
        <color rgb="FF92D050"/>
      </font>
      <fill>
        <patternFill>
          <bgColor theme="0"/>
        </patternFill>
      </fill>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253F49"/>
      <color rgb="FFEDEDED"/>
      <color rgb="FF00EC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ES">
                <a:solidFill>
                  <a:srgbClr val="009999"/>
                </a:solidFill>
                <a:latin typeface="+mj-lt"/>
              </a:rPr>
              <a:t>PERCEPCION</a:t>
            </a:r>
            <a:r>
              <a:rPr lang="es-ES" baseline="0">
                <a:solidFill>
                  <a:srgbClr val="009999"/>
                </a:solidFill>
                <a:latin typeface="+mj-lt"/>
              </a:rPr>
              <a:t> DEL PÚBLICO</a:t>
            </a:r>
            <a:endParaRPr lang="es-ES">
              <a:solidFill>
                <a:srgbClr val="009999"/>
              </a:solidFill>
              <a:latin typeface="+mj-lt"/>
            </a:endParaRPr>
          </a:p>
        </c:rich>
      </c:tx>
      <c:overlay val="0"/>
      <c:spPr>
        <a:noFill/>
        <a:ln>
          <a:noFill/>
        </a:ln>
        <a:effectLst/>
      </c:spPr>
    </c:title>
    <c:autoTitleDeleted val="0"/>
    <c:plotArea>
      <c:layout/>
      <c:barChart>
        <c:barDir val="col"/>
        <c:grouping val="clustered"/>
        <c:varyColors val="0"/>
        <c:ser>
          <c:idx val="0"/>
          <c:order val="0"/>
          <c:invertIfNegative val="0"/>
          <c:cat>
            <c:strRef>
              <c:f>Mercado!$B$9:$I$9</c:f>
              <c:strCache>
                <c:ptCount val="8"/>
                <c:pt idx="0">
                  <c:v>NUESTRA EMPRESA</c:v>
                </c:pt>
                <c:pt idx="1">
                  <c:v>Raw Talent</c:v>
                </c:pt>
                <c:pt idx="2">
                  <c:v>DCInfluenc</c:v>
                </c:pt>
                <c:pt idx="3">
                  <c:v>MatchAgenc</c:v>
                </c:pt>
                <c:pt idx="4">
                  <c:v>RangaMedia</c:v>
                </c:pt>
                <c:pt idx="5">
                  <c:v>  Trendset</c:v>
                </c:pt>
                <c:pt idx="6">
                  <c:v>SomosInflu</c:v>
                </c:pt>
                <c:pt idx="7">
                  <c:v>MEDIA</c:v>
                </c:pt>
              </c:strCache>
            </c:strRef>
          </c:cat>
          <c:val>
            <c:numRef>
              <c:f>Mercado!$B$21:$I$21</c:f>
              <c:numCache>
                <c:formatCode>0</c:formatCode>
                <c:ptCount val="8"/>
                <c:pt idx="0">
                  <c:v>80</c:v>
                </c:pt>
                <c:pt idx="1">
                  <c:v>55</c:v>
                </c:pt>
                <c:pt idx="2">
                  <c:v>40</c:v>
                </c:pt>
                <c:pt idx="3">
                  <c:v>45</c:v>
                </c:pt>
                <c:pt idx="4">
                  <c:v>35</c:v>
                </c:pt>
                <c:pt idx="5">
                  <c:v>38</c:v>
                </c:pt>
                <c:pt idx="6">
                  <c:v>15</c:v>
                </c:pt>
                <c:pt idx="7">
                  <c:v>90.285714285714278</c:v>
                </c:pt>
              </c:numCache>
            </c:numRef>
          </c:val>
          <c:extLst>
            <c:ext xmlns:c16="http://schemas.microsoft.com/office/drawing/2014/chart" uri="{C3380CC4-5D6E-409C-BE32-E72D297353CC}">
              <c16:uniqueId val="{00000004-647C-4073-B85E-FEA0E91B9A32}"/>
            </c:ext>
          </c:extLst>
        </c:ser>
        <c:dLbls>
          <c:showLegendKey val="0"/>
          <c:showVal val="0"/>
          <c:showCatName val="0"/>
          <c:showSerName val="0"/>
          <c:showPercent val="0"/>
          <c:showBubbleSize val="0"/>
        </c:dLbls>
        <c:gapWidth val="219"/>
        <c:overlap val="-27"/>
        <c:axId val="836248320"/>
        <c:axId val="1"/>
      </c:barChart>
      <c:catAx>
        <c:axId val="8362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36248320"/>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pieChart>
        <c:varyColors val="1"/>
        <c:ser>
          <c:idx val="0"/>
          <c:order val="0"/>
          <c:tx>
            <c:strRef>
              <c:f>'[1]Graficas oficinas'!$E$3</c:f>
              <c:strCache>
                <c:ptCount val="1"/>
                <c:pt idx="0">
                  <c:v>Impactos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528-4598-9285-BA598439741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528-4598-9285-BA598439741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528-4598-9285-BA598439741B}"/>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O"/>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'[1]Graficas oficinas'!$B$4:$B$6</c:f>
              <c:strCache>
                <c:ptCount val="3"/>
                <c:pt idx="0">
                  <c:v>Físico</c:v>
                </c:pt>
                <c:pt idx="1">
                  <c:v>Biótico</c:v>
                </c:pt>
                <c:pt idx="2">
                  <c:v>Socioeconómico y Cultural</c:v>
                </c:pt>
              </c:strCache>
            </c:strRef>
          </c:cat>
          <c:val>
            <c:numRef>
              <c:f>'[1]Graficas oficinas'!$E$4:$E$6</c:f>
              <c:numCache>
                <c:formatCode>General</c:formatCode>
                <c:ptCount val="3"/>
                <c:pt idx="0">
                  <c:v>6</c:v>
                </c:pt>
                <c:pt idx="1">
                  <c:v>0</c:v>
                </c:pt>
                <c:pt idx="2">
                  <c:v>5</c:v>
                </c:pt>
              </c:numCache>
            </c:numRef>
          </c:val>
          <c:extLst>
            <c:ext xmlns:c16="http://schemas.microsoft.com/office/drawing/2014/chart" uri="{C3380CC4-5D6E-409C-BE32-E72D297353CC}">
              <c16:uniqueId val="{00000006-A528-4598-9285-BA598439741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53546042660160442"/>
          <c:y val="0.29255655543057119"/>
          <c:w val="0.43637055931388852"/>
          <c:h val="0.660719910011248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barChart>
        <c:barDir val="col"/>
        <c:grouping val="clustered"/>
        <c:varyColors val="0"/>
        <c:ser>
          <c:idx val="0"/>
          <c:order val="0"/>
          <c:tx>
            <c:strRef>
              <c:f>Gráficas!$G$5</c:f>
              <c:strCache>
                <c:ptCount val="1"/>
                <c:pt idx="0">
                  <c:v> Actividades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Gráficas!$F$6:$F$8</c:f>
              <c:strCache>
                <c:ptCount val="3"/>
                <c:pt idx="0">
                  <c:v>Irrelevantes</c:v>
                </c:pt>
                <c:pt idx="1">
                  <c:v>Beneficiosas</c:v>
                </c:pt>
                <c:pt idx="2">
                  <c:v>Irrelevantes</c:v>
                </c:pt>
              </c:strCache>
            </c:strRef>
          </c:cat>
          <c:val>
            <c:numRef>
              <c:f>Gráficas!$G$6:$G$8</c:f>
              <c:numCache>
                <c:formatCode>General</c:formatCode>
                <c:ptCount val="3"/>
                <c:pt idx="0">
                  <c:v>14</c:v>
                </c:pt>
                <c:pt idx="1">
                  <c:v>3</c:v>
                </c:pt>
                <c:pt idx="2">
                  <c:v>13</c:v>
                </c:pt>
              </c:numCache>
            </c:numRef>
          </c:val>
          <c:extLst>
            <c:ext xmlns:c16="http://schemas.microsoft.com/office/drawing/2014/chart" uri="{C3380CC4-5D6E-409C-BE32-E72D297353CC}">
              <c16:uniqueId val="{00000000-5651-49EA-8FA5-524765B56D9B}"/>
            </c:ext>
          </c:extLst>
        </c:ser>
        <c:dLbls>
          <c:dLblPos val="inEnd"/>
          <c:showLegendKey val="0"/>
          <c:showVal val="1"/>
          <c:showCatName val="0"/>
          <c:showSerName val="0"/>
          <c:showPercent val="0"/>
          <c:showBubbleSize val="0"/>
        </c:dLbls>
        <c:gapWidth val="100"/>
        <c:overlap val="-24"/>
        <c:axId val="324517712"/>
        <c:axId val="324519680"/>
      </c:barChart>
      <c:catAx>
        <c:axId val="324517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324519680"/>
        <c:crosses val="autoZero"/>
        <c:auto val="1"/>
        <c:lblAlgn val="ctr"/>
        <c:lblOffset val="100"/>
        <c:noMultiLvlLbl val="0"/>
      </c:catAx>
      <c:valAx>
        <c:axId val="3245196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324517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F8EDDD6E-7DC4-42F7-85C1-D2B736FCA6E2}" type="doc">
      <dgm:prSet loTypeId="urn:microsoft.com/office/officeart/2005/8/layout/cycle2" loCatId="cycle" qsTypeId="urn:microsoft.com/office/officeart/2005/8/quickstyle/simple1#1" qsCatId="simple" csTypeId="urn:microsoft.com/office/officeart/2005/8/colors/accent1_2#1" csCatId="accent1" phldr="1"/>
      <dgm:spPr/>
      <dgm:t>
        <a:bodyPr/>
        <a:lstStyle/>
        <a:p>
          <a:endParaRPr lang="es-CO"/>
        </a:p>
      </dgm:t>
    </dgm:pt>
    <dgm:pt modelId="{8B7D663D-860E-4051-A099-934482AC8679}">
      <dgm:prSet phldrT="[Texto]"/>
      <dgm:spPr/>
      <dgm:t>
        <a:bodyPr/>
        <a:lstStyle/>
        <a:p>
          <a:r>
            <a:rPr lang="es-CO"/>
            <a:t>Entrega de videos</a:t>
          </a:r>
        </a:p>
      </dgm:t>
    </dgm:pt>
    <dgm:pt modelId="{308696E3-52B8-44EC-AD97-DE5FC088DE44}" type="parTrans" cxnId="{5A7DB9B1-9A66-4616-975D-9DA6802DEB47}">
      <dgm:prSet/>
      <dgm:spPr/>
      <dgm:t>
        <a:bodyPr/>
        <a:lstStyle/>
        <a:p>
          <a:endParaRPr lang="es-CO"/>
        </a:p>
      </dgm:t>
    </dgm:pt>
    <dgm:pt modelId="{946D92CC-9853-4993-A2F4-FB5C11E1FC42}" type="sibTrans" cxnId="{5A7DB9B1-9A66-4616-975D-9DA6802DEB47}">
      <dgm:prSet/>
      <dgm:spPr/>
      <dgm:t>
        <a:bodyPr/>
        <a:lstStyle/>
        <a:p>
          <a:endParaRPr lang="es-CO"/>
        </a:p>
      </dgm:t>
    </dgm:pt>
    <dgm:pt modelId="{9D20821A-8283-414E-8C21-8857782A34A0}">
      <dgm:prSet phldrT="[Texto]"/>
      <dgm:spPr/>
      <dgm:t>
        <a:bodyPr/>
        <a:lstStyle/>
        <a:p>
          <a:r>
            <a:rPr lang="es-CO"/>
            <a:t>Partner</a:t>
          </a:r>
        </a:p>
      </dgm:t>
    </dgm:pt>
    <dgm:pt modelId="{3F1408A7-2C7E-430E-AF2A-5ED4E14ABB23}" type="sibTrans" cxnId="{96909243-8115-4F8B-895D-3FE9311D124D}">
      <dgm:prSet/>
      <dgm:spPr/>
      <dgm:t>
        <a:bodyPr/>
        <a:lstStyle/>
        <a:p>
          <a:endParaRPr lang="es-CO"/>
        </a:p>
      </dgm:t>
    </dgm:pt>
    <dgm:pt modelId="{D46F3740-249F-4DA6-895A-E50FE2E321AD}" type="parTrans" cxnId="{96909243-8115-4F8B-895D-3FE9311D124D}">
      <dgm:prSet/>
      <dgm:spPr/>
      <dgm:t>
        <a:bodyPr/>
        <a:lstStyle/>
        <a:p>
          <a:endParaRPr lang="es-CO"/>
        </a:p>
      </dgm:t>
    </dgm:pt>
    <dgm:pt modelId="{FE01AF46-575C-460F-A750-2707CD204B2E}">
      <dgm:prSet phldrT="[Texto]"/>
      <dgm:spPr/>
      <dgm:t>
        <a:bodyPr/>
        <a:lstStyle/>
        <a:p>
          <a:r>
            <a:rPr lang="es-CO"/>
            <a:t>Revisión</a:t>
          </a:r>
        </a:p>
      </dgm:t>
    </dgm:pt>
    <dgm:pt modelId="{66D77871-E165-46F3-BA61-72806BAE800F}" type="sibTrans" cxnId="{61EA8B24-367B-407C-BEF1-717A840E2B6B}">
      <dgm:prSet/>
      <dgm:spPr/>
      <dgm:t>
        <a:bodyPr/>
        <a:lstStyle/>
        <a:p>
          <a:endParaRPr lang="es-CO"/>
        </a:p>
      </dgm:t>
    </dgm:pt>
    <dgm:pt modelId="{3ED33090-5BD1-40E3-A34C-4AFC04762F2F}" type="parTrans" cxnId="{61EA8B24-367B-407C-BEF1-717A840E2B6B}">
      <dgm:prSet/>
      <dgm:spPr/>
      <dgm:t>
        <a:bodyPr/>
        <a:lstStyle/>
        <a:p>
          <a:endParaRPr lang="es-CO"/>
        </a:p>
      </dgm:t>
    </dgm:pt>
    <dgm:pt modelId="{175B3423-517E-481E-A841-F06B76217124}">
      <dgm:prSet phldrT="[Texto]"/>
      <dgm:spPr/>
      <dgm:t>
        <a:bodyPr/>
        <a:lstStyle/>
        <a:p>
          <a:r>
            <a:rPr lang="es-CO"/>
            <a:t>Edición</a:t>
          </a:r>
        </a:p>
      </dgm:t>
    </dgm:pt>
    <dgm:pt modelId="{91AAED53-9BB1-41F3-81E4-C11CEFB41927}" type="sibTrans" cxnId="{7A06FADA-D272-43C1-843E-0780A01C1A0D}">
      <dgm:prSet/>
      <dgm:spPr/>
      <dgm:t>
        <a:bodyPr/>
        <a:lstStyle/>
        <a:p>
          <a:endParaRPr lang="es-CO"/>
        </a:p>
      </dgm:t>
    </dgm:pt>
    <dgm:pt modelId="{8EA7F01C-D28F-459C-8E06-3A2EF3B80DD3}" type="parTrans" cxnId="{7A06FADA-D272-43C1-843E-0780A01C1A0D}">
      <dgm:prSet/>
      <dgm:spPr/>
      <dgm:t>
        <a:bodyPr/>
        <a:lstStyle/>
        <a:p>
          <a:endParaRPr lang="es-CO"/>
        </a:p>
      </dgm:t>
    </dgm:pt>
    <dgm:pt modelId="{1A309CA1-97EA-46F0-B665-04CFC479F387}">
      <dgm:prSet phldrT="[Texto]"/>
      <dgm:spPr/>
      <dgm:t>
        <a:bodyPr/>
        <a:lstStyle/>
        <a:p>
          <a:r>
            <a:rPr lang="es-CO"/>
            <a:t>Publicación</a:t>
          </a:r>
        </a:p>
      </dgm:t>
    </dgm:pt>
    <dgm:pt modelId="{508CE8D5-6F00-4AC5-8EBA-89E53E237BF9}" type="sibTrans" cxnId="{37882FCA-2EFA-4DDF-BAFD-0B1161C36681}">
      <dgm:prSet/>
      <dgm:spPr/>
      <dgm:t>
        <a:bodyPr/>
        <a:lstStyle/>
        <a:p>
          <a:endParaRPr lang="es-CO"/>
        </a:p>
      </dgm:t>
    </dgm:pt>
    <dgm:pt modelId="{3AD410D7-9398-465C-871D-591FBA51807D}" type="parTrans" cxnId="{37882FCA-2EFA-4DDF-BAFD-0B1161C36681}">
      <dgm:prSet/>
      <dgm:spPr/>
      <dgm:t>
        <a:bodyPr/>
        <a:lstStyle/>
        <a:p>
          <a:endParaRPr lang="es-CO"/>
        </a:p>
      </dgm:t>
    </dgm:pt>
    <dgm:pt modelId="{CDE57371-23E4-4F0E-BA49-7F7A9D64B95A}">
      <dgm:prSet phldrT="[Texto]"/>
      <dgm:spPr/>
      <dgm:t>
        <a:bodyPr/>
        <a:lstStyle/>
        <a:p>
          <a:r>
            <a:rPr lang="es-CO"/>
            <a:t>Distribución</a:t>
          </a:r>
        </a:p>
      </dgm:t>
    </dgm:pt>
    <dgm:pt modelId="{FA3A57A7-18BB-4F6C-B35C-E202008A6D12}" type="parTrans" cxnId="{6909EF0C-6D5A-4A95-8B96-AD71F97D93CC}">
      <dgm:prSet/>
      <dgm:spPr/>
      <dgm:t>
        <a:bodyPr/>
        <a:lstStyle/>
        <a:p>
          <a:endParaRPr lang="es-CO"/>
        </a:p>
      </dgm:t>
    </dgm:pt>
    <dgm:pt modelId="{8D7122D7-2C24-479E-939F-2DFCCB1361CF}" type="sibTrans" cxnId="{6909EF0C-6D5A-4A95-8B96-AD71F97D93CC}">
      <dgm:prSet/>
      <dgm:spPr/>
      <dgm:t>
        <a:bodyPr/>
        <a:lstStyle/>
        <a:p>
          <a:endParaRPr lang="es-CO"/>
        </a:p>
      </dgm:t>
    </dgm:pt>
    <dgm:pt modelId="{2D401490-FB8A-4489-9A29-F66D9B0F1B61}">
      <dgm:prSet phldrT="[Texto]"/>
      <dgm:spPr/>
      <dgm:t>
        <a:bodyPr/>
        <a:lstStyle/>
        <a:p>
          <a:r>
            <a:rPr lang="es-CO"/>
            <a:t>Informe de monetización</a:t>
          </a:r>
        </a:p>
      </dgm:t>
    </dgm:pt>
    <dgm:pt modelId="{FFFA923D-FF3B-4312-9348-2F5320D96109}" type="parTrans" cxnId="{6BB47716-7D69-41FC-985A-63046666C3DB}">
      <dgm:prSet/>
      <dgm:spPr/>
      <dgm:t>
        <a:bodyPr/>
        <a:lstStyle/>
        <a:p>
          <a:endParaRPr lang="es-CO"/>
        </a:p>
      </dgm:t>
    </dgm:pt>
    <dgm:pt modelId="{07BEB4A0-387F-40C2-85CC-6F9D0B40BFB9}" type="sibTrans" cxnId="{6BB47716-7D69-41FC-985A-63046666C3DB}">
      <dgm:prSet/>
      <dgm:spPr/>
      <dgm:t>
        <a:bodyPr/>
        <a:lstStyle/>
        <a:p>
          <a:endParaRPr lang="es-CO"/>
        </a:p>
      </dgm:t>
    </dgm:pt>
    <dgm:pt modelId="{4A328328-8EF1-4548-AE7E-556FEE0C9712}">
      <dgm:prSet phldrT="[Texto]"/>
      <dgm:spPr/>
      <dgm:t>
        <a:bodyPr/>
        <a:lstStyle/>
        <a:p>
          <a:r>
            <a:rPr lang="es-CO"/>
            <a:t>Distribución de porcentaje</a:t>
          </a:r>
        </a:p>
      </dgm:t>
    </dgm:pt>
    <dgm:pt modelId="{BAA5F314-A68F-42DE-AE99-383F83AB0726}" type="parTrans" cxnId="{F86E69F0-B62B-43B4-8458-9038F241ABC3}">
      <dgm:prSet/>
      <dgm:spPr/>
      <dgm:t>
        <a:bodyPr/>
        <a:lstStyle/>
        <a:p>
          <a:endParaRPr lang="es-CO"/>
        </a:p>
      </dgm:t>
    </dgm:pt>
    <dgm:pt modelId="{C7C4589B-095C-4D19-88F7-F4861838DD63}" type="sibTrans" cxnId="{F86E69F0-B62B-43B4-8458-9038F241ABC3}">
      <dgm:prSet/>
      <dgm:spPr/>
      <dgm:t>
        <a:bodyPr/>
        <a:lstStyle/>
        <a:p>
          <a:endParaRPr lang="es-CO"/>
        </a:p>
      </dgm:t>
    </dgm:pt>
    <dgm:pt modelId="{137310A2-FAC5-4AFD-81E2-0FFFA8F00AF3}" type="pres">
      <dgm:prSet presAssocID="{F8EDDD6E-7DC4-42F7-85C1-D2B736FCA6E2}" presName="cycle" presStyleCnt="0">
        <dgm:presLayoutVars>
          <dgm:dir/>
          <dgm:resizeHandles val="exact"/>
        </dgm:presLayoutVars>
      </dgm:prSet>
      <dgm:spPr/>
    </dgm:pt>
    <dgm:pt modelId="{D4124232-88BA-40E1-BF0A-2A2B2EEB25F2}" type="pres">
      <dgm:prSet presAssocID="{8B7D663D-860E-4051-A099-934482AC8679}" presName="node" presStyleLbl="node1" presStyleIdx="0" presStyleCnt="8">
        <dgm:presLayoutVars>
          <dgm:bulletEnabled val="1"/>
        </dgm:presLayoutVars>
      </dgm:prSet>
      <dgm:spPr/>
    </dgm:pt>
    <dgm:pt modelId="{5D497EDC-7245-4E59-A603-7F79F520AB3A}" type="pres">
      <dgm:prSet presAssocID="{946D92CC-9853-4993-A2F4-FB5C11E1FC42}" presName="sibTrans" presStyleLbl="sibTrans2D1" presStyleIdx="0" presStyleCnt="8"/>
      <dgm:spPr/>
    </dgm:pt>
    <dgm:pt modelId="{8E446CA2-BAAF-4F17-989C-E2DEFEEF9DE2}" type="pres">
      <dgm:prSet presAssocID="{946D92CC-9853-4993-A2F4-FB5C11E1FC42}" presName="connectorText" presStyleLbl="sibTrans2D1" presStyleIdx="0" presStyleCnt="8"/>
      <dgm:spPr/>
    </dgm:pt>
    <dgm:pt modelId="{D7850FFD-A4F7-472D-B7AC-183D25F59D94}" type="pres">
      <dgm:prSet presAssocID="{9D20821A-8283-414E-8C21-8857782A34A0}" presName="node" presStyleLbl="node1" presStyleIdx="1" presStyleCnt="8">
        <dgm:presLayoutVars>
          <dgm:bulletEnabled val="1"/>
        </dgm:presLayoutVars>
      </dgm:prSet>
      <dgm:spPr/>
    </dgm:pt>
    <dgm:pt modelId="{7E18EE00-B741-4DAB-A2EE-6F542F1ED9E2}" type="pres">
      <dgm:prSet presAssocID="{3F1408A7-2C7E-430E-AF2A-5ED4E14ABB23}" presName="sibTrans" presStyleLbl="sibTrans2D1" presStyleIdx="1" presStyleCnt="8"/>
      <dgm:spPr/>
    </dgm:pt>
    <dgm:pt modelId="{E74E20C6-9590-472D-B6B7-1C0CEF05996C}" type="pres">
      <dgm:prSet presAssocID="{3F1408A7-2C7E-430E-AF2A-5ED4E14ABB23}" presName="connectorText" presStyleLbl="sibTrans2D1" presStyleIdx="1" presStyleCnt="8"/>
      <dgm:spPr/>
    </dgm:pt>
    <dgm:pt modelId="{377322A1-9377-4B7A-90B5-CFEAC8D21B97}" type="pres">
      <dgm:prSet presAssocID="{FE01AF46-575C-460F-A750-2707CD204B2E}" presName="node" presStyleLbl="node1" presStyleIdx="2" presStyleCnt="8">
        <dgm:presLayoutVars>
          <dgm:bulletEnabled val="1"/>
        </dgm:presLayoutVars>
      </dgm:prSet>
      <dgm:spPr/>
    </dgm:pt>
    <dgm:pt modelId="{814124BB-35E3-49F1-AEBA-1CB36F13BB98}" type="pres">
      <dgm:prSet presAssocID="{66D77871-E165-46F3-BA61-72806BAE800F}" presName="sibTrans" presStyleLbl="sibTrans2D1" presStyleIdx="2" presStyleCnt="8"/>
      <dgm:spPr/>
    </dgm:pt>
    <dgm:pt modelId="{40DFCD78-E2D6-4050-852F-778E87DDD69D}" type="pres">
      <dgm:prSet presAssocID="{66D77871-E165-46F3-BA61-72806BAE800F}" presName="connectorText" presStyleLbl="sibTrans2D1" presStyleIdx="2" presStyleCnt="8"/>
      <dgm:spPr/>
    </dgm:pt>
    <dgm:pt modelId="{975BDA3B-154A-4F18-BE8D-EAD8CF6E5508}" type="pres">
      <dgm:prSet presAssocID="{175B3423-517E-481E-A841-F06B76217124}" presName="node" presStyleLbl="node1" presStyleIdx="3" presStyleCnt="8">
        <dgm:presLayoutVars>
          <dgm:bulletEnabled val="1"/>
        </dgm:presLayoutVars>
      </dgm:prSet>
      <dgm:spPr/>
    </dgm:pt>
    <dgm:pt modelId="{A38C3476-BE6A-449F-9B03-9A7C5394E128}" type="pres">
      <dgm:prSet presAssocID="{91AAED53-9BB1-41F3-81E4-C11CEFB41927}" presName="sibTrans" presStyleLbl="sibTrans2D1" presStyleIdx="3" presStyleCnt="8"/>
      <dgm:spPr/>
    </dgm:pt>
    <dgm:pt modelId="{335E9B46-FE42-467B-ACD3-B262F27704CB}" type="pres">
      <dgm:prSet presAssocID="{91AAED53-9BB1-41F3-81E4-C11CEFB41927}" presName="connectorText" presStyleLbl="sibTrans2D1" presStyleIdx="3" presStyleCnt="8"/>
      <dgm:spPr/>
    </dgm:pt>
    <dgm:pt modelId="{2CBB88E2-ED1A-44EC-972A-58FC8F5D149F}" type="pres">
      <dgm:prSet presAssocID="{1A309CA1-97EA-46F0-B665-04CFC479F387}" presName="node" presStyleLbl="node1" presStyleIdx="4" presStyleCnt="8">
        <dgm:presLayoutVars>
          <dgm:bulletEnabled val="1"/>
        </dgm:presLayoutVars>
      </dgm:prSet>
      <dgm:spPr/>
    </dgm:pt>
    <dgm:pt modelId="{F0EC31C0-1BE6-44F6-BE26-0061C0344C7E}" type="pres">
      <dgm:prSet presAssocID="{508CE8D5-6F00-4AC5-8EBA-89E53E237BF9}" presName="sibTrans" presStyleLbl="sibTrans2D1" presStyleIdx="4" presStyleCnt="8"/>
      <dgm:spPr/>
    </dgm:pt>
    <dgm:pt modelId="{CA9E5010-E80E-4FCC-AC29-FBA40F73A6A3}" type="pres">
      <dgm:prSet presAssocID="{508CE8D5-6F00-4AC5-8EBA-89E53E237BF9}" presName="connectorText" presStyleLbl="sibTrans2D1" presStyleIdx="4" presStyleCnt="8"/>
      <dgm:spPr/>
    </dgm:pt>
    <dgm:pt modelId="{10296579-3780-4587-9455-907560CE099A}" type="pres">
      <dgm:prSet presAssocID="{CDE57371-23E4-4F0E-BA49-7F7A9D64B95A}" presName="node" presStyleLbl="node1" presStyleIdx="5" presStyleCnt="8">
        <dgm:presLayoutVars>
          <dgm:bulletEnabled val="1"/>
        </dgm:presLayoutVars>
      </dgm:prSet>
      <dgm:spPr/>
    </dgm:pt>
    <dgm:pt modelId="{B05D053A-BA12-4131-8B8F-D36CC3DF8651}" type="pres">
      <dgm:prSet presAssocID="{8D7122D7-2C24-479E-939F-2DFCCB1361CF}" presName="sibTrans" presStyleLbl="sibTrans2D1" presStyleIdx="5" presStyleCnt="8"/>
      <dgm:spPr/>
    </dgm:pt>
    <dgm:pt modelId="{D005F6B2-85B0-47BA-9747-03AC31D2C15C}" type="pres">
      <dgm:prSet presAssocID="{8D7122D7-2C24-479E-939F-2DFCCB1361CF}" presName="connectorText" presStyleLbl="sibTrans2D1" presStyleIdx="5" presStyleCnt="8"/>
      <dgm:spPr/>
    </dgm:pt>
    <dgm:pt modelId="{23F90192-7853-4819-91E3-B6DA5DEB00FC}" type="pres">
      <dgm:prSet presAssocID="{2D401490-FB8A-4489-9A29-F66D9B0F1B61}" presName="node" presStyleLbl="node1" presStyleIdx="6" presStyleCnt="8">
        <dgm:presLayoutVars>
          <dgm:bulletEnabled val="1"/>
        </dgm:presLayoutVars>
      </dgm:prSet>
      <dgm:spPr/>
    </dgm:pt>
    <dgm:pt modelId="{3D7C2029-C421-473A-9AB0-0EF53C70381D}" type="pres">
      <dgm:prSet presAssocID="{07BEB4A0-387F-40C2-85CC-6F9D0B40BFB9}" presName="sibTrans" presStyleLbl="sibTrans2D1" presStyleIdx="6" presStyleCnt="8"/>
      <dgm:spPr/>
    </dgm:pt>
    <dgm:pt modelId="{0496786F-21A0-437C-A824-2068A750AADD}" type="pres">
      <dgm:prSet presAssocID="{07BEB4A0-387F-40C2-85CC-6F9D0B40BFB9}" presName="connectorText" presStyleLbl="sibTrans2D1" presStyleIdx="6" presStyleCnt="8"/>
      <dgm:spPr/>
    </dgm:pt>
    <dgm:pt modelId="{98AC3EA3-A41D-4800-8B25-9337052694BA}" type="pres">
      <dgm:prSet presAssocID="{4A328328-8EF1-4548-AE7E-556FEE0C9712}" presName="node" presStyleLbl="node1" presStyleIdx="7" presStyleCnt="8">
        <dgm:presLayoutVars>
          <dgm:bulletEnabled val="1"/>
        </dgm:presLayoutVars>
      </dgm:prSet>
      <dgm:spPr/>
    </dgm:pt>
    <dgm:pt modelId="{A072BDD7-0AD3-407C-83AF-11B11F38E0BC}" type="pres">
      <dgm:prSet presAssocID="{C7C4589B-095C-4D19-88F7-F4861838DD63}" presName="sibTrans" presStyleLbl="sibTrans2D1" presStyleIdx="7" presStyleCnt="8"/>
      <dgm:spPr/>
    </dgm:pt>
    <dgm:pt modelId="{588ABDD5-2601-4A53-BE98-78E5E24C9A06}" type="pres">
      <dgm:prSet presAssocID="{C7C4589B-095C-4D19-88F7-F4861838DD63}" presName="connectorText" presStyleLbl="sibTrans2D1" presStyleIdx="7" presStyleCnt="8"/>
      <dgm:spPr/>
    </dgm:pt>
  </dgm:ptLst>
  <dgm:cxnLst>
    <dgm:cxn modelId="{1D58100A-2842-466A-9943-5E4BA37BBCF8}" type="presOf" srcId="{07BEB4A0-387F-40C2-85CC-6F9D0B40BFB9}" destId="{3D7C2029-C421-473A-9AB0-0EF53C70381D}" srcOrd="0" destOrd="0" presId="urn:microsoft.com/office/officeart/2005/8/layout/cycle2"/>
    <dgm:cxn modelId="{6909EF0C-6D5A-4A95-8B96-AD71F97D93CC}" srcId="{F8EDDD6E-7DC4-42F7-85C1-D2B736FCA6E2}" destId="{CDE57371-23E4-4F0E-BA49-7F7A9D64B95A}" srcOrd="5" destOrd="0" parTransId="{FA3A57A7-18BB-4F6C-B35C-E202008A6D12}" sibTransId="{8D7122D7-2C24-479E-939F-2DFCCB1361CF}"/>
    <dgm:cxn modelId="{08E80B16-17FC-4790-8C40-FC8AC80CD736}" type="presOf" srcId="{508CE8D5-6F00-4AC5-8EBA-89E53E237BF9}" destId="{CA9E5010-E80E-4FCC-AC29-FBA40F73A6A3}" srcOrd="1" destOrd="0" presId="urn:microsoft.com/office/officeart/2005/8/layout/cycle2"/>
    <dgm:cxn modelId="{6BB47716-7D69-41FC-985A-63046666C3DB}" srcId="{F8EDDD6E-7DC4-42F7-85C1-D2B736FCA6E2}" destId="{2D401490-FB8A-4489-9A29-F66D9B0F1B61}" srcOrd="6" destOrd="0" parTransId="{FFFA923D-FF3B-4312-9348-2F5320D96109}" sibTransId="{07BEB4A0-387F-40C2-85CC-6F9D0B40BFB9}"/>
    <dgm:cxn modelId="{F5CAFB18-C31A-4A24-9829-EFE57FBDEEC8}" type="presOf" srcId="{946D92CC-9853-4993-A2F4-FB5C11E1FC42}" destId="{5D497EDC-7245-4E59-A603-7F79F520AB3A}" srcOrd="0" destOrd="0" presId="urn:microsoft.com/office/officeart/2005/8/layout/cycle2"/>
    <dgm:cxn modelId="{F58C1321-62AF-41F5-80D2-B8B82F562FB0}" type="presOf" srcId="{66D77871-E165-46F3-BA61-72806BAE800F}" destId="{40DFCD78-E2D6-4050-852F-778E87DDD69D}" srcOrd="1" destOrd="0" presId="urn:microsoft.com/office/officeart/2005/8/layout/cycle2"/>
    <dgm:cxn modelId="{61EA8B24-367B-407C-BEF1-717A840E2B6B}" srcId="{F8EDDD6E-7DC4-42F7-85C1-D2B736FCA6E2}" destId="{FE01AF46-575C-460F-A750-2707CD204B2E}" srcOrd="2" destOrd="0" parTransId="{3ED33090-5BD1-40E3-A34C-4AFC04762F2F}" sibTransId="{66D77871-E165-46F3-BA61-72806BAE800F}"/>
    <dgm:cxn modelId="{2089F93A-2C52-47A9-A331-00DC737F7BB0}" type="presOf" srcId="{FE01AF46-575C-460F-A750-2707CD204B2E}" destId="{377322A1-9377-4B7A-90B5-CFEAC8D21B97}" srcOrd="0" destOrd="0" presId="urn:microsoft.com/office/officeart/2005/8/layout/cycle2"/>
    <dgm:cxn modelId="{96909243-8115-4F8B-895D-3FE9311D124D}" srcId="{F8EDDD6E-7DC4-42F7-85C1-D2B736FCA6E2}" destId="{9D20821A-8283-414E-8C21-8857782A34A0}" srcOrd="1" destOrd="0" parTransId="{D46F3740-249F-4DA6-895A-E50FE2E321AD}" sibTransId="{3F1408A7-2C7E-430E-AF2A-5ED4E14ABB23}"/>
    <dgm:cxn modelId="{DEB36264-7066-47EE-9E11-6A9DEEAB852E}" type="presOf" srcId="{F8EDDD6E-7DC4-42F7-85C1-D2B736FCA6E2}" destId="{137310A2-FAC5-4AFD-81E2-0FFFA8F00AF3}" srcOrd="0" destOrd="0" presId="urn:microsoft.com/office/officeart/2005/8/layout/cycle2"/>
    <dgm:cxn modelId="{09686766-9442-43BC-B48C-271BE4600E9A}" type="presOf" srcId="{91AAED53-9BB1-41F3-81E4-C11CEFB41927}" destId="{A38C3476-BE6A-449F-9B03-9A7C5394E128}" srcOrd="0" destOrd="0" presId="urn:microsoft.com/office/officeart/2005/8/layout/cycle2"/>
    <dgm:cxn modelId="{06B63D4F-5876-4C1A-8D88-F7BC527C4E30}" type="presOf" srcId="{8B7D663D-860E-4051-A099-934482AC8679}" destId="{D4124232-88BA-40E1-BF0A-2A2B2EEB25F2}" srcOrd="0" destOrd="0" presId="urn:microsoft.com/office/officeart/2005/8/layout/cycle2"/>
    <dgm:cxn modelId="{40FF1670-B461-4552-A340-8A5816ECE798}" type="presOf" srcId="{2D401490-FB8A-4489-9A29-F66D9B0F1B61}" destId="{23F90192-7853-4819-91E3-B6DA5DEB00FC}" srcOrd="0" destOrd="0" presId="urn:microsoft.com/office/officeart/2005/8/layout/cycle2"/>
    <dgm:cxn modelId="{E0D91673-645E-424A-B733-2D6645C845EA}" type="presOf" srcId="{508CE8D5-6F00-4AC5-8EBA-89E53E237BF9}" destId="{F0EC31C0-1BE6-44F6-BE26-0061C0344C7E}" srcOrd="0" destOrd="0" presId="urn:microsoft.com/office/officeart/2005/8/layout/cycle2"/>
    <dgm:cxn modelId="{2790AF79-6826-427B-A6F0-9D0FE726EC66}" type="presOf" srcId="{C7C4589B-095C-4D19-88F7-F4861838DD63}" destId="{A072BDD7-0AD3-407C-83AF-11B11F38E0BC}" srcOrd="0" destOrd="0" presId="urn:microsoft.com/office/officeart/2005/8/layout/cycle2"/>
    <dgm:cxn modelId="{B741B97C-E83D-424F-B4AA-2B1FDE6F335C}" type="presOf" srcId="{175B3423-517E-481E-A841-F06B76217124}" destId="{975BDA3B-154A-4F18-BE8D-EAD8CF6E5508}" srcOrd="0" destOrd="0" presId="urn:microsoft.com/office/officeart/2005/8/layout/cycle2"/>
    <dgm:cxn modelId="{98E2FB83-476E-4BE0-A21F-6DAF74AAC43B}" type="presOf" srcId="{9D20821A-8283-414E-8C21-8857782A34A0}" destId="{D7850FFD-A4F7-472D-B7AC-183D25F59D94}" srcOrd="0" destOrd="0" presId="urn:microsoft.com/office/officeart/2005/8/layout/cycle2"/>
    <dgm:cxn modelId="{CE4E3685-3A07-458A-A876-5F6FCE3C62ED}" type="presOf" srcId="{1A309CA1-97EA-46F0-B665-04CFC479F387}" destId="{2CBB88E2-ED1A-44EC-972A-58FC8F5D149F}" srcOrd="0" destOrd="0" presId="urn:microsoft.com/office/officeart/2005/8/layout/cycle2"/>
    <dgm:cxn modelId="{5340F099-9BEC-4E22-B6BE-B6634440710E}" type="presOf" srcId="{CDE57371-23E4-4F0E-BA49-7F7A9D64B95A}" destId="{10296579-3780-4587-9455-907560CE099A}" srcOrd="0" destOrd="0" presId="urn:microsoft.com/office/officeart/2005/8/layout/cycle2"/>
    <dgm:cxn modelId="{C95387AF-689A-4259-B78A-201FBBEE315C}" type="presOf" srcId="{946D92CC-9853-4993-A2F4-FB5C11E1FC42}" destId="{8E446CA2-BAAF-4F17-989C-E2DEFEEF9DE2}" srcOrd="1" destOrd="0" presId="urn:microsoft.com/office/officeart/2005/8/layout/cycle2"/>
    <dgm:cxn modelId="{5A7DB9B1-9A66-4616-975D-9DA6802DEB47}" srcId="{F8EDDD6E-7DC4-42F7-85C1-D2B736FCA6E2}" destId="{8B7D663D-860E-4051-A099-934482AC8679}" srcOrd="0" destOrd="0" parTransId="{308696E3-52B8-44EC-AD97-DE5FC088DE44}" sibTransId="{946D92CC-9853-4993-A2F4-FB5C11E1FC42}"/>
    <dgm:cxn modelId="{84B5A6B4-6561-4876-A8BD-967589886EF6}" type="presOf" srcId="{8D7122D7-2C24-479E-939F-2DFCCB1361CF}" destId="{D005F6B2-85B0-47BA-9747-03AC31D2C15C}" srcOrd="1" destOrd="0" presId="urn:microsoft.com/office/officeart/2005/8/layout/cycle2"/>
    <dgm:cxn modelId="{B8D3BCB8-DCF1-40D3-9761-340FBF0E0321}" type="presOf" srcId="{8D7122D7-2C24-479E-939F-2DFCCB1361CF}" destId="{B05D053A-BA12-4131-8B8F-D36CC3DF8651}" srcOrd="0" destOrd="0" presId="urn:microsoft.com/office/officeart/2005/8/layout/cycle2"/>
    <dgm:cxn modelId="{2CEDF2BD-E776-4F7B-ABB5-5AE935FBB1FB}" type="presOf" srcId="{66D77871-E165-46F3-BA61-72806BAE800F}" destId="{814124BB-35E3-49F1-AEBA-1CB36F13BB98}" srcOrd="0" destOrd="0" presId="urn:microsoft.com/office/officeart/2005/8/layout/cycle2"/>
    <dgm:cxn modelId="{37882FCA-2EFA-4DDF-BAFD-0B1161C36681}" srcId="{F8EDDD6E-7DC4-42F7-85C1-D2B736FCA6E2}" destId="{1A309CA1-97EA-46F0-B665-04CFC479F387}" srcOrd="4" destOrd="0" parTransId="{3AD410D7-9398-465C-871D-591FBA51807D}" sibTransId="{508CE8D5-6F00-4AC5-8EBA-89E53E237BF9}"/>
    <dgm:cxn modelId="{FA549BCC-0C40-4989-9D3F-F9AC0BDD904C}" type="presOf" srcId="{07BEB4A0-387F-40C2-85CC-6F9D0B40BFB9}" destId="{0496786F-21A0-437C-A824-2068A750AADD}" srcOrd="1" destOrd="0" presId="urn:microsoft.com/office/officeart/2005/8/layout/cycle2"/>
    <dgm:cxn modelId="{98783ED5-612A-4069-8AAA-680EC0B4EA8E}" type="presOf" srcId="{3F1408A7-2C7E-430E-AF2A-5ED4E14ABB23}" destId="{E74E20C6-9590-472D-B6B7-1C0CEF05996C}" srcOrd="1" destOrd="0" presId="urn:microsoft.com/office/officeart/2005/8/layout/cycle2"/>
    <dgm:cxn modelId="{7A06FADA-D272-43C1-843E-0780A01C1A0D}" srcId="{F8EDDD6E-7DC4-42F7-85C1-D2B736FCA6E2}" destId="{175B3423-517E-481E-A841-F06B76217124}" srcOrd="3" destOrd="0" parTransId="{8EA7F01C-D28F-459C-8E06-3A2EF3B80DD3}" sibTransId="{91AAED53-9BB1-41F3-81E4-C11CEFB41927}"/>
    <dgm:cxn modelId="{9E5EAADC-B9B8-4BF7-99D8-FD8D81B5A357}" type="presOf" srcId="{3F1408A7-2C7E-430E-AF2A-5ED4E14ABB23}" destId="{7E18EE00-B741-4DAB-A2EE-6F542F1ED9E2}" srcOrd="0" destOrd="0" presId="urn:microsoft.com/office/officeart/2005/8/layout/cycle2"/>
    <dgm:cxn modelId="{F24B82E4-93FD-430D-805B-8BA63DB1C30B}" type="presOf" srcId="{91AAED53-9BB1-41F3-81E4-C11CEFB41927}" destId="{335E9B46-FE42-467B-ACD3-B262F27704CB}" srcOrd="1" destOrd="0" presId="urn:microsoft.com/office/officeart/2005/8/layout/cycle2"/>
    <dgm:cxn modelId="{772C8AEE-F3A4-43B3-ACAF-1FC85CF8065D}" type="presOf" srcId="{C7C4589B-095C-4D19-88F7-F4861838DD63}" destId="{588ABDD5-2601-4A53-BE98-78E5E24C9A06}" srcOrd="1" destOrd="0" presId="urn:microsoft.com/office/officeart/2005/8/layout/cycle2"/>
    <dgm:cxn modelId="{F86E69F0-B62B-43B4-8458-9038F241ABC3}" srcId="{F8EDDD6E-7DC4-42F7-85C1-D2B736FCA6E2}" destId="{4A328328-8EF1-4548-AE7E-556FEE0C9712}" srcOrd="7" destOrd="0" parTransId="{BAA5F314-A68F-42DE-AE99-383F83AB0726}" sibTransId="{C7C4589B-095C-4D19-88F7-F4861838DD63}"/>
    <dgm:cxn modelId="{D1214AFE-6F4B-4D9B-BAEF-47B479773176}" type="presOf" srcId="{4A328328-8EF1-4548-AE7E-556FEE0C9712}" destId="{98AC3EA3-A41D-4800-8B25-9337052694BA}" srcOrd="0" destOrd="0" presId="urn:microsoft.com/office/officeart/2005/8/layout/cycle2"/>
    <dgm:cxn modelId="{899B15CB-D303-4F58-BFDB-77521453710F}" type="presParOf" srcId="{137310A2-FAC5-4AFD-81E2-0FFFA8F00AF3}" destId="{D4124232-88BA-40E1-BF0A-2A2B2EEB25F2}" srcOrd="0" destOrd="0" presId="urn:microsoft.com/office/officeart/2005/8/layout/cycle2"/>
    <dgm:cxn modelId="{3EC1DD1E-9F31-4F61-BAD0-8EDAA035F50F}" type="presParOf" srcId="{137310A2-FAC5-4AFD-81E2-0FFFA8F00AF3}" destId="{5D497EDC-7245-4E59-A603-7F79F520AB3A}" srcOrd="1" destOrd="0" presId="urn:microsoft.com/office/officeart/2005/8/layout/cycle2"/>
    <dgm:cxn modelId="{847F78FD-B96D-4FF4-A575-B0A8D62864F3}" type="presParOf" srcId="{5D497EDC-7245-4E59-A603-7F79F520AB3A}" destId="{8E446CA2-BAAF-4F17-989C-E2DEFEEF9DE2}" srcOrd="0" destOrd="0" presId="urn:microsoft.com/office/officeart/2005/8/layout/cycle2"/>
    <dgm:cxn modelId="{C417EC33-2757-4DFB-89C1-2F006B017999}" type="presParOf" srcId="{137310A2-FAC5-4AFD-81E2-0FFFA8F00AF3}" destId="{D7850FFD-A4F7-472D-B7AC-183D25F59D94}" srcOrd="2" destOrd="0" presId="urn:microsoft.com/office/officeart/2005/8/layout/cycle2"/>
    <dgm:cxn modelId="{5BA2CBE0-9189-4A96-B64D-7AA545D6090A}" type="presParOf" srcId="{137310A2-FAC5-4AFD-81E2-0FFFA8F00AF3}" destId="{7E18EE00-B741-4DAB-A2EE-6F542F1ED9E2}" srcOrd="3" destOrd="0" presId="urn:microsoft.com/office/officeart/2005/8/layout/cycle2"/>
    <dgm:cxn modelId="{660A1C92-CA3B-4562-A153-A2A29487DEEC}" type="presParOf" srcId="{7E18EE00-B741-4DAB-A2EE-6F542F1ED9E2}" destId="{E74E20C6-9590-472D-B6B7-1C0CEF05996C}" srcOrd="0" destOrd="0" presId="urn:microsoft.com/office/officeart/2005/8/layout/cycle2"/>
    <dgm:cxn modelId="{DEE6601A-5FA4-4D81-8A0A-C0BC83503221}" type="presParOf" srcId="{137310A2-FAC5-4AFD-81E2-0FFFA8F00AF3}" destId="{377322A1-9377-4B7A-90B5-CFEAC8D21B97}" srcOrd="4" destOrd="0" presId="urn:microsoft.com/office/officeart/2005/8/layout/cycle2"/>
    <dgm:cxn modelId="{764185C2-AA1A-4F65-827D-1073D3501ECE}" type="presParOf" srcId="{137310A2-FAC5-4AFD-81E2-0FFFA8F00AF3}" destId="{814124BB-35E3-49F1-AEBA-1CB36F13BB98}" srcOrd="5" destOrd="0" presId="urn:microsoft.com/office/officeart/2005/8/layout/cycle2"/>
    <dgm:cxn modelId="{9AAFB6E8-FC26-4C1A-8F48-44750DD5379F}" type="presParOf" srcId="{814124BB-35E3-49F1-AEBA-1CB36F13BB98}" destId="{40DFCD78-E2D6-4050-852F-778E87DDD69D}" srcOrd="0" destOrd="0" presId="urn:microsoft.com/office/officeart/2005/8/layout/cycle2"/>
    <dgm:cxn modelId="{831F4360-AEF7-48D1-AFE4-137F00E12C67}" type="presParOf" srcId="{137310A2-FAC5-4AFD-81E2-0FFFA8F00AF3}" destId="{975BDA3B-154A-4F18-BE8D-EAD8CF6E5508}" srcOrd="6" destOrd="0" presId="urn:microsoft.com/office/officeart/2005/8/layout/cycle2"/>
    <dgm:cxn modelId="{3D1EEA1A-7EAC-4D19-AD65-F2B1759E193A}" type="presParOf" srcId="{137310A2-FAC5-4AFD-81E2-0FFFA8F00AF3}" destId="{A38C3476-BE6A-449F-9B03-9A7C5394E128}" srcOrd="7" destOrd="0" presId="urn:microsoft.com/office/officeart/2005/8/layout/cycle2"/>
    <dgm:cxn modelId="{CFB61B26-E40D-4483-96AD-C05B7AA86906}" type="presParOf" srcId="{A38C3476-BE6A-449F-9B03-9A7C5394E128}" destId="{335E9B46-FE42-467B-ACD3-B262F27704CB}" srcOrd="0" destOrd="0" presId="urn:microsoft.com/office/officeart/2005/8/layout/cycle2"/>
    <dgm:cxn modelId="{12A934FB-03A8-4057-B30D-15AD811996AA}" type="presParOf" srcId="{137310A2-FAC5-4AFD-81E2-0FFFA8F00AF3}" destId="{2CBB88E2-ED1A-44EC-972A-58FC8F5D149F}" srcOrd="8" destOrd="0" presId="urn:microsoft.com/office/officeart/2005/8/layout/cycle2"/>
    <dgm:cxn modelId="{05B0C1F7-9B6F-47BD-92DC-8232F3D8C3AE}" type="presParOf" srcId="{137310A2-FAC5-4AFD-81E2-0FFFA8F00AF3}" destId="{F0EC31C0-1BE6-44F6-BE26-0061C0344C7E}" srcOrd="9" destOrd="0" presId="urn:microsoft.com/office/officeart/2005/8/layout/cycle2"/>
    <dgm:cxn modelId="{8CA7B09B-337C-4220-8C8D-EAA5AC7EBA17}" type="presParOf" srcId="{F0EC31C0-1BE6-44F6-BE26-0061C0344C7E}" destId="{CA9E5010-E80E-4FCC-AC29-FBA40F73A6A3}" srcOrd="0" destOrd="0" presId="urn:microsoft.com/office/officeart/2005/8/layout/cycle2"/>
    <dgm:cxn modelId="{3814A8F8-2C10-45A7-955F-8AE6817BA02C}" type="presParOf" srcId="{137310A2-FAC5-4AFD-81E2-0FFFA8F00AF3}" destId="{10296579-3780-4587-9455-907560CE099A}" srcOrd="10" destOrd="0" presId="urn:microsoft.com/office/officeart/2005/8/layout/cycle2"/>
    <dgm:cxn modelId="{20DFA158-B0B8-4091-98F4-CEA55992B076}" type="presParOf" srcId="{137310A2-FAC5-4AFD-81E2-0FFFA8F00AF3}" destId="{B05D053A-BA12-4131-8B8F-D36CC3DF8651}" srcOrd="11" destOrd="0" presId="urn:microsoft.com/office/officeart/2005/8/layout/cycle2"/>
    <dgm:cxn modelId="{3C11D030-65FF-4839-A396-26DFBA501665}" type="presParOf" srcId="{B05D053A-BA12-4131-8B8F-D36CC3DF8651}" destId="{D005F6B2-85B0-47BA-9747-03AC31D2C15C}" srcOrd="0" destOrd="0" presId="urn:microsoft.com/office/officeart/2005/8/layout/cycle2"/>
    <dgm:cxn modelId="{797ADA5C-C6D8-4F68-A2D9-9E98400A80EA}" type="presParOf" srcId="{137310A2-FAC5-4AFD-81E2-0FFFA8F00AF3}" destId="{23F90192-7853-4819-91E3-B6DA5DEB00FC}" srcOrd="12" destOrd="0" presId="urn:microsoft.com/office/officeart/2005/8/layout/cycle2"/>
    <dgm:cxn modelId="{6B24B360-32B6-4BDC-9C04-72D127D98373}" type="presParOf" srcId="{137310A2-FAC5-4AFD-81E2-0FFFA8F00AF3}" destId="{3D7C2029-C421-473A-9AB0-0EF53C70381D}" srcOrd="13" destOrd="0" presId="urn:microsoft.com/office/officeart/2005/8/layout/cycle2"/>
    <dgm:cxn modelId="{F5C1D6BC-AB78-429D-A18F-B7A11F40BDDB}" type="presParOf" srcId="{3D7C2029-C421-473A-9AB0-0EF53C70381D}" destId="{0496786F-21A0-437C-A824-2068A750AADD}" srcOrd="0" destOrd="0" presId="urn:microsoft.com/office/officeart/2005/8/layout/cycle2"/>
    <dgm:cxn modelId="{EB802A90-5D85-42AE-B7A3-80B8A929EF1F}" type="presParOf" srcId="{137310A2-FAC5-4AFD-81E2-0FFFA8F00AF3}" destId="{98AC3EA3-A41D-4800-8B25-9337052694BA}" srcOrd="14" destOrd="0" presId="urn:microsoft.com/office/officeart/2005/8/layout/cycle2"/>
    <dgm:cxn modelId="{4B82E9A7-0037-4D0E-BB7D-B67FC1E2EB6E}" type="presParOf" srcId="{137310A2-FAC5-4AFD-81E2-0FFFA8F00AF3}" destId="{A072BDD7-0AD3-407C-83AF-11B11F38E0BC}" srcOrd="15" destOrd="0" presId="urn:microsoft.com/office/officeart/2005/8/layout/cycle2"/>
    <dgm:cxn modelId="{817E4891-88A0-4ED0-A4F3-803934B1900F}" type="presParOf" srcId="{A072BDD7-0AD3-407C-83AF-11B11F38E0BC}" destId="{588ABDD5-2601-4A53-BE98-78E5E24C9A06}" srcOrd="0" destOrd="0" presId="urn:microsoft.com/office/officeart/2005/8/layout/cycle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4124232-88BA-40E1-BF0A-2A2B2EEB25F2}">
      <dsp:nvSpPr>
        <dsp:cNvPr id="0" name=""/>
        <dsp:cNvSpPr/>
      </dsp:nvSpPr>
      <dsp:spPr>
        <a:xfrm>
          <a:off x="3597435" y="1653"/>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Entrega de videos</a:t>
          </a:r>
        </a:p>
      </dsp:txBody>
      <dsp:txXfrm>
        <a:off x="3726184" y="130402"/>
        <a:ext cx="621656" cy="621656"/>
      </dsp:txXfrm>
    </dsp:sp>
    <dsp:sp modelId="{5D497EDC-7245-4E59-A603-7F79F520AB3A}">
      <dsp:nvSpPr>
        <dsp:cNvPr id="0" name=""/>
        <dsp:cNvSpPr/>
      </dsp:nvSpPr>
      <dsp:spPr>
        <a:xfrm rot="1350000">
          <a:off x="4523985" y="543061"/>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4526658" y="588968"/>
        <a:ext cx="163850" cy="178028"/>
      </dsp:txXfrm>
    </dsp:sp>
    <dsp:sp modelId="{D7850FFD-A4F7-472D-B7AC-183D25F59D94}">
      <dsp:nvSpPr>
        <dsp:cNvPr id="0" name=""/>
        <dsp:cNvSpPr/>
      </dsp:nvSpPr>
      <dsp:spPr>
        <a:xfrm>
          <a:off x="4817694" y="507101"/>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Partner</a:t>
          </a:r>
        </a:p>
      </dsp:txBody>
      <dsp:txXfrm>
        <a:off x="4946443" y="635850"/>
        <a:ext cx="621656" cy="621656"/>
      </dsp:txXfrm>
    </dsp:sp>
    <dsp:sp modelId="{7E18EE00-B741-4DAB-A2EE-6F542F1ED9E2}">
      <dsp:nvSpPr>
        <dsp:cNvPr id="0" name=""/>
        <dsp:cNvSpPr/>
      </dsp:nvSpPr>
      <dsp:spPr>
        <a:xfrm rot="4050000">
          <a:off x="5390424" y="1402329"/>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5412098" y="1429234"/>
        <a:ext cx="163850" cy="178028"/>
      </dsp:txXfrm>
    </dsp:sp>
    <dsp:sp modelId="{377322A1-9377-4B7A-90B5-CFEAC8D21B97}">
      <dsp:nvSpPr>
        <dsp:cNvPr id="0" name=""/>
        <dsp:cNvSpPr/>
      </dsp:nvSpPr>
      <dsp:spPr>
        <a:xfrm>
          <a:off x="5323142" y="1727359"/>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Revisión</a:t>
          </a:r>
        </a:p>
      </dsp:txBody>
      <dsp:txXfrm>
        <a:off x="5451891" y="1856108"/>
        <a:ext cx="621656" cy="621656"/>
      </dsp:txXfrm>
    </dsp:sp>
    <dsp:sp modelId="{814124BB-35E3-49F1-AEBA-1CB36F13BB98}">
      <dsp:nvSpPr>
        <dsp:cNvPr id="0" name=""/>
        <dsp:cNvSpPr/>
      </dsp:nvSpPr>
      <dsp:spPr>
        <a:xfrm rot="6750000">
          <a:off x="5395494" y="2622588"/>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rot="10800000">
        <a:off x="5444041" y="2649493"/>
        <a:ext cx="163850" cy="178028"/>
      </dsp:txXfrm>
    </dsp:sp>
    <dsp:sp modelId="{975BDA3B-154A-4F18-BE8D-EAD8CF6E5508}">
      <dsp:nvSpPr>
        <dsp:cNvPr id="0" name=""/>
        <dsp:cNvSpPr/>
      </dsp:nvSpPr>
      <dsp:spPr>
        <a:xfrm>
          <a:off x="4817694" y="2947618"/>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Edición</a:t>
          </a:r>
        </a:p>
      </dsp:txBody>
      <dsp:txXfrm>
        <a:off x="4946443" y="3076367"/>
        <a:ext cx="621656" cy="621656"/>
      </dsp:txXfrm>
    </dsp:sp>
    <dsp:sp modelId="{A38C3476-BE6A-449F-9B03-9A7C5394E128}">
      <dsp:nvSpPr>
        <dsp:cNvPr id="0" name=""/>
        <dsp:cNvSpPr/>
      </dsp:nvSpPr>
      <dsp:spPr>
        <a:xfrm rot="9450000">
          <a:off x="4536226" y="3489027"/>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rot="10800000">
        <a:off x="4603774" y="3534934"/>
        <a:ext cx="163850" cy="178028"/>
      </dsp:txXfrm>
    </dsp:sp>
    <dsp:sp modelId="{2CBB88E2-ED1A-44EC-972A-58FC8F5D149F}">
      <dsp:nvSpPr>
        <dsp:cNvPr id="0" name=""/>
        <dsp:cNvSpPr/>
      </dsp:nvSpPr>
      <dsp:spPr>
        <a:xfrm>
          <a:off x="3597435" y="3453066"/>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Publicación</a:t>
          </a:r>
        </a:p>
      </dsp:txBody>
      <dsp:txXfrm>
        <a:off x="3726184" y="3581815"/>
        <a:ext cx="621656" cy="621656"/>
      </dsp:txXfrm>
    </dsp:sp>
    <dsp:sp modelId="{F0EC31C0-1BE6-44F6-BE26-0061C0344C7E}">
      <dsp:nvSpPr>
        <dsp:cNvPr id="0" name=""/>
        <dsp:cNvSpPr/>
      </dsp:nvSpPr>
      <dsp:spPr>
        <a:xfrm rot="12150000">
          <a:off x="3315967" y="3494097"/>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rot="10800000">
        <a:off x="3383515" y="3566876"/>
        <a:ext cx="163850" cy="178028"/>
      </dsp:txXfrm>
    </dsp:sp>
    <dsp:sp modelId="{10296579-3780-4587-9455-907560CE099A}">
      <dsp:nvSpPr>
        <dsp:cNvPr id="0" name=""/>
        <dsp:cNvSpPr/>
      </dsp:nvSpPr>
      <dsp:spPr>
        <a:xfrm>
          <a:off x="2377176" y="2947618"/>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Distribución</a:t>
          </a:r>
        </a:p>
      </dsp:txBody>
      <dsp:txXfrm>
        <a:off x="2505925" y="3076367"/>
        <a:ext cx="621656" cy="621656"/>
      </dsp:txXfrm>
    </dsp:sp>
    <dsp:sp modelId="{B05D053A-BA12-4131-8B8F-D36CC3DF8651}">
      <dsp:nvSpPr>
        <dsp:cNvPr id="0" name=""/>
        <dsp:cNvSpPr/>
      </dsp:nvSpPr>
      <dsp:spPr>
        <a:xfrm rot="14850000">
          <a:off x="2449529" y="2634829"/>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rot="10800000">
        <a:off x="2498076" y="2726610"/>
        <a:ext cx="163850" cy="178028"/>
      </dsp:txXfrm>
    </dsp:sp>
    <dsp:sp modelId="{23F90192-7853-4819-91E3-B6DA5DEB00FC}">
      <dsp:nvSpPr>
        <dsp:cNvPr id="0" name=""/>
        <dsp:cNvSpPr/>
      </dsp:nvSpPr>
      <dsp:spPr>
        <a:xfrm>
          <a:off x="1871728" y="1727359"/>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Informe de monetización</a:t>
          </a:r>
        </a:p>
      </dsp:txBody>
      <dsp:txXfrm>
        <a:off x="2000477" y="1856108"/>
        <a:ext cx="621656" cy="621656"/>
      </dsp:txXfrm>
    </dsp:sp>
    <dsp:sp modelId="{3D7C2029-C421-473A-9AB0-0EF53C70381D}">
      <dsp:nvSpPr>
        <dsp:cNvPr id="0" name=""/>
        <dsp:cNvSpPr/>
      </dsp:nvSpPr>
      <dsp:spPr>
        <a:xfrm rot="17550000">
          <a:off x="2444458" y="1414570"/>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2466132" y="1506351"/>
        <a:ext cx="163850" cy="178028"/>
      </dsp:txXfrm>
    </dsp:sp>
    <dsp:sp modelId="{98AC3EA3-A41D-4800-8B25-9337052694BA}">
      <dsp:nvSpPr>
        <dsp:cNvPr id="0" name=""/>
        <dsp:cNvSpPr/>
      </dsp:nvSpPr>
      <dsp:spPr>
        <a:xfrm>
          <a:off x="2377176" y="507101"/>
          <a:ext cx="879154" cy="879154"/>
        </a:xfrm>
        <a:prstGeom prst="ellipse">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355600">
            <a:lnSpc>
              <a:spcPct val="90000"/>
            </a:lnSpc>
            <a:spcBef>
              <a:spcPct val="0"/>
            </a:spcBef>
            <a:spcAft>
              <a:spcPct val="35000"/>
            </a:spcAft>
            <a:buNone/>
          </a:pPr>
          <a:r>
            <a:rPr lang="es-CO" sz="800" kern="1200"/>
            <a:t>Distribución de porcentaje</a:t>
          </a:r>
        </a:p>
      </dsp:txBody>
      <dsp:txXfrm>
        <a:off x="2505925" y="635850"/>
        <a:ext cx="621656" cy="621656"/>
      </dsp:txXfrm>
    </dsp:sp>
    <dsp:sp modelId="{A072BDD7-0AD3-407C-83AF-11B11F38E0BC}">
      <dsp:nvSpPr>
        <dsp:cNvPr id="0" name=""/>
        <dsp:cNvSpPr/>
      </dsp:nvSpPr>
      <dsp:spPr>
        <a:xfrm rot="20250000">
          <a:off x="3303726" y="548132"/>
          <a:ext cx="234071" cy="296714"/>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3306399" y="620911"/>
        <a:ext cx="163850" cy="178028"/>
      </dsp:txXfrm>
    </dsp:sp>
  </dsp:spTree>
</dsp:drawing>
</file>

<file path=xl/diagrams/layout1.xml><?xml version="1.0" encoding="utf-8"?>
<dgm:layoutDef xmlns:dgm="http://schemas.openxmlformats.org/drawingml/2006/diagram" xmlns:a="http://schemas.openxmlformats.org/drawingml/2006/main" uniqueId="urn:microsoft.com/office/officeart/2005/8/layout/cycle2">
  <dgm:title val=""/>
  <dgm:desc val=""/>
  <dgm:catLst>
    <dgm:cat type="cycle" pri="1000"/>
    <dgm:cat type="convert" pri="10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6" srcId="0" destId="1" srcOrd="0" destOrd="0"/>
        <dgm:cxn modelId="7" srcId="0" destId="2" srcOrd="1" destOrd="0"/>
        <dgm:cxn modelId="8" srcId="0" destId="3" srcOrd="2" destOrd="0"/>
        <dgm:cxn modelId="9" srcId="0" destId="4" srcOrd="3" destOrd="0"/>
        <dgm:cxn modelId="10" srcId="0" destId="5" srcOrd="4" destOrd="0"/>
      </dgm:cxnLst>
      <dgm:bg/>
      <dgm:whole/>
    </dgm:dataModel>
  </dgm:sampData>
  <dgm:styleData>
    <dgm:dataModel>
      <dgm:ptLst>
        <dgm:pt modelId="0" type="doc"/>
        <dgm:pt modelId="1"/>
        <dgm:pt modelId="2"/>
        <dgm:pt modelId="3"/>
      </dgm:ptLst>
      <dgm:cxnLst>
        <dgm:cxn modelId="4" srcId="0" destId="1" srcOrd="0" destOrd="0"/>
        <dgm:cxn modelId="5" srcId="0" destId="2" srcOrd="1" destOrd="0"/>
        <dgm:cxn modelId="6" srcId="0" destId="3" srcOrd="2" destOrd="0"/>
      </dgm:cxnLst>
      <dgm:bg/>
      <dgm:whole/>
    </dgm:dataModel>
  </dgm:styleData>
  <dgm:clrData>
    <dgm:dataModel>
      <dgm:ptLst>
        <dgm:pt modelId="0" type="doc"/>
        <dgm:pt modelId="1"/>
        <dgm:pt modelId="2"/>
        <dgm:pt modelId="3"/>
        <dgm:pt modelId="4"/>
        <dgm:pt modelId="5"/>
        <dgm:pt modelId="6"/>
      </dgm:ptLst>
      <dgm:cxnLst>
        <dgm:cxn modelId="7" srcId="0" destId="1" srcOrd="0" destOrd="0"/>
        <dgm:cxn modelId="8" srcId="0" destId="2" srcOrd="1" destOrd="0"/>
        <dgm:cxn modelId="9" srcId="0" destId="3" srcOrd="2" destOrd="0"/>
        <dgm:cxn modelId="10" srcId="0" destId="4" srcOrd="3" destOrd="0"/>
        <dgm:cxn modelId="11" srcId="0" destId="5" srcOrd="4" destOrd="0"/>
        <dgm:cxn modelId="12" srcId="0" destId="6" srcOrd="5" destOrd="0"/>
      </dgm:cxnLst>
      <dgm:bg/>
      <dgm:whole/>
    </dgm:dataModel>
  </dgm:clrData>
  <dgm:layoutNode name="cycle">
    <dgm:varLst>
      <dgm:dir/>
      <dgm:resizeHandles val="exact"/>
    </dgm:varLst>
    <dgm:choose name="Name0">
      <dgm:if name="Name1" func="var" arg="dir" op="equ" val="norm">
        <dgm:choose name="Name2">
          <dgm:if name="Name3" axis="ch" ptType="node" func="cnt" op="gt" val="2">
            <dgm:alg type="cycle">
              <dgm:param type="stAng" val="0"/>
              <dgm:param type="spanAng" val="360"/>
            </dgm:alg>
          </dgm:if>
          <dgm:else name="Name4">
            <dgm:alg type="cycle">
              <dgm:param type="stAng" val="-90"/>
              <dgm:param type="spanAng" val="360"/>
            </dgm:alg>
          </dgm:else>
        </dgm:choose>
      </dgm:if>
      <dgm:else name="Name5">
        <dgm:choose name="Name6">
          <dgm:if name="Name7" axis="ch" ptType="node" func="cnt" op="gt" val="2">
            <dgm:alg type="cycle">
              <dgm:param type="stAng" val="0"/>
              <dgm:param type="spanAng" val="-360"/>
            </dgm:alg>
          </dgm:if>
          <dgm:else name="Name8">
            <dgm:alg type="cycle">
              <dgm:param type="stAng" val="90"/>
              <dgm:param type="spanAng" val="-360"/>
            </dgm:alg>
          </dgm:else>
        </dgm:choose>
      </dgm:else>
    </dgm:choose>
    <dgm:shape xmlns:r="http://schemas.openxmlformats.org/officeDocument/2006/relationships" r:blip="">
      <dgm:adjLst/>
    </dgm:shape>
    <dgm:presOf/>
    <dgm:constrLst>
      <dgm:constr type="w" for="ch" ptType="node" refType="w"/>
      <dgm:constr type="w" for="ch" ptType="sibTrans" refType="w" refFor="ch" refPtType="node" op="equ" fact="0.25"/>
      <dgm:constr type="sibSp" refType="w" refFor="ch" refPtType="node" fact="0.5"/>
      <dgm:constr type="primFontSz" for="ch" ptType="node" op="equ" val="65"/>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param type="txAnchorVertCh" val="mid"/>
        </dgm:alg>
        <dgm:shape xmlns:r="http://schemas.openxmlformats.org/officeDocument/2006/relationships" type="ellipse" r:blip="">
          <dgm:adjLst/>
        </dgm:shape>
        <dgm:presOf axis="desOrSelf" ptType="node"/>
        <dgm:constrLst>
          <dgm:constr type="h" refType="w"/>
          <dgm:constr type="lMarg" refType="primFontSz" fact="0.1"/>
          <dgm:constr type="rMarg" refType="primFontSz" fact="0.1"/>
          <dgm:constr type="tMarg" refType="primFontSz" fact="0.1"/>
          <dgm:constr type="bMarg" refType="primFontSz" fact="0.1"/>
        </dgm:constrLst>
        <dgm:ruleLst>
          <dgm:rule type="primFontSz" val="5" fact="NaN" max="NaN"/>
        </dgm:ruleLst>
      </dgm:layoutNode>
      <dgm:choose name="Name9">
        <dgm:if name="Name10" axis="par ch" ptType="doc node" func="cnt" op="gt" val="1">
          <dgm:forEach name="sibTransForEach" axis="followSib" ptType="sibTrans" hideLastTrans="0" cnt="1">
            <dgm:layoutNode name="sibTrans">
              <dgm:choose name="Name11">
                <dgm:if name="Name12" axis="par ch" ptType="doc node" func="cnt" op="lt" val="3">
                  <dgm:alg type="conn">
                    <dgm:param type="begPts" val="radial"/>
                    <dgm:param type="endPts" val="radial"/>
                  </dgm:alg>
                </dgm:if>
                <dgm:else name="Name13">
                  <dgm:alg type="conn">
                    <dgm:param type="begPts" val="auto"/>
                    <dgm:param type="endPts" val="auto"/>
                  </dgm:alg>
                </dgm:else>
              </dgm:choose>
              <dgm:shape xmlns:r="http://schemas.openxmlformats.org/officeDocument/2006/relationships" type="conn" r:blip="">
                <dgm:adjLst/>
              </dgm:shape>
              <dgm:presOf axis="self"/>
              <dgm:constrLst>
                <dgm:constr type="h" refType="w" fact="1.35"/>
                <dgm:constr type="connDist"/>
                <dgm:constr type="w" for="ch" refType="connDist" fact="0.45"/>
                <dgm:constr type="h" for="ch" refType="h"/>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if>
        <dgm:else name="Name14"/>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83344</xdr:colOff>
      <xdr:row>0</xdr:row>
      <xdr:rowOff>190500</xdr:rowOff>
    </xdr:from>
    <xdr:to>
      <xdr:col>13</xdr:col>
      <xdr:colOff>721518</xdr:colOff>
      <xdr:row>0</xdr:row>
      <xdr:rowOff>733425</xdr:rowOff>
    </xdr:to>
    <xdr:grpSp>
      <xdr:nvGrpSpPr>
        <xdr:cNvPr id="19" name="Grupo 18">
          <a:extLst>
            <a:ext uri="{FF2B5EF4-FFF2-40B4-BE49-F238E27FC236}">
              <a16:creationId xmlns:a16="http://schemas.microsoft.com/office/drawing/2014/main" id="{05D60E95-AD4D-4532-AF8E-1C74F556CA48}"/>
            </a:ext>
          </a:extLst>
        </xdr:cNvPr>
        <xdr:cNvGrpSpPr/>
      </xdr:nvGrpSpPr>
      <xdr:grpSpPr>
        <a:xfrm>
          <a:off x="83344" y="190500"/>
          <a:ext cx="16584612" cy="542925"/>
          <a:chOff x="95250" y="228601"/>
          <a:chExt cx="15830549" cy="485774"/>
        </a:xfrm>
      </xdr:grpSpPr>
      <xdr:sp macro="[0]!Mercado" textlink="">
        <xdr:nvSpPr>
          <xdr:cNvPr id="20" name="Rectángulo: esquinas redondeadas 19">
            <a:extLst>
              <a:ext uri="{FF2B5EF4-FFF2-40B4-BE49-F238E27FC236}">
                <a16:creationId xmlns:a16="http://schemas.microsoft.com/office/drawing/2014/main" id="{7FA95CBD-89A7-59C6-D3E2-F58DC9F2F9FE}"/>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1" name="Rectángulo: esquinas redondeadas 20">
            <a:extLst>
              <a:ext uri="{FF2B5EF4-FFF2-40B4-BE49-F238E27FC236}">
                <a16:creationId xmlns:a16="http://schemas.microsoft.com/office/drawing/2014/main" id="{43562321-E4AA-FBE4-B43B-F5BA8F01FA4D}"/>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2" name="Rectángulo: esquinas redondeadas 21">
            <a:extLst>
              <a:ext uri="{FF2B5EF4-FFF2-40B4-BE49-F238E27FC236}">
                <a16:creationId xmlns:a16="http://schemas.microsoft.com/office/drawing/2014/main" id="{01F582C5-1048-A6E9-BDC7-EF7B04A224FB}"/>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3" name="Rectángulo: esquinas redondeadas 22">
            <a:extLst>
              <a:ext uri="{FF2B5EF4-FFF2-40B4-BE49-F238E27FC236}">
                <a16:creationId xmlns:a16="http://schemas.microsoft.com/office/drawing/2014/main" id="{D98A892B-4941-6622-CE1E-4DEA7FD21C9E}"/>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4" name="Rectángulo: esquinas redondeadas 23">
            <a:extLst>
              <a:ext uri="{FF2B5EF4-FFF2-40B4-BE49-F238E27FC236}">
                <a16:creationId xmlns:a16="http://schemas.microsoft.com/office/drawing/2014/main" id="{66E65D6B-3AED-C680-F561-D0DFAC24FE51}"/>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5" name="Rectángulo: esquinas redondeadas 24">
            <a:extLst>
              <a:ext uri="{FF2B5EF4-FFF2-40B4-BE49-F238E27FC236}">
                <a16:creationId xmlns:a16="http://schemas.microsoft.com/office/drawing/2014/main" id="{15C47391-3BC2-4E15-5FFF-76DCCB634B40}"/>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31" name="Rectángulo: esquinas redondeadas 30">
            <a:extLst>
              <a:ext uri="{FF2B5EF4-FFF2-40B4-BE49-F238E27FC236}">
                <a16:creationId xmlns:a16="http://schemas.microsoft.com/office/drawing/2014/main" id="{17CB852F-E5E4-182D-E7C9-DB3400E5D7F3}"/>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6" name="Rectángulo: esquinas redondeadas 35">
            <a:extLst>
              <a:ext uri="{FF2B5EF4-FFF2-40B4-BE49-F238E27FC236}">
                <a16:creationId xmlns:a16="http://schemas.microsoft.com/office/drawing/2014/main" id="{FA16B3BF-3ECD-1A17-1F77-7A1A16C68997}"/>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7" name="Rectángulo: esquinas redondeadas 36">
            <a:extLst>
              <a:ext uri="{FF2B5EF4-FFF2-40B4-BE49-F238E27FC236}">
                <a16:creationId xmlns:a16="http://schemas.microsoft.com/office/drawing/2014/main" id="{4C098322-F1B9-FD3C-62CF-B3D03D657442}"/>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8" name="Rectángulo: esquinas redondeadas 37">
            <a:extLst>
              <a:ext uri="{FF2B5EF4-FFF2-40B4-BE49-F238E27FC236}">
                <a16:creationId xmlns:a16="http://schemas.microsoft.com/office/drawing/2014/main" id="{4332FFC1-612D-C3D2-E9B5-B59780A736A4}"/>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9" name="Rectángulo: esquinas redondeadas 38">
            <a:extLst>
              <a:ext uri="{FF2B5EF4-FFF2-40B4-BE49-F238E27FC236}">
                <a16:creationId xmlns:a16="http://schemas.microsoft.com/office/drawing/2014/main" id="{81CFD35F-8003-F9C4-6F05-74A7B57D306D}"/>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40" name="Rectángulo: esquinas redondeadas 39">
            <a:extLst>
              <a:ext uri="{FF2B5EF4-FFF2-40B4-BE49-F238E27FC236}">
                <a16:creationId xmlns:a16="http://schemas.microsoft.com/office/drawing/2014/main" id="{DE784C19-6BF0-1074-8638-4C6041014AC3}"/>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41" name="Rectángulo: esquinas redondeadas 40">
            <a:extLst>
              <a:ext uri="{FF2B5EF4-FFF2-40B4-BE49-F238E27FC236}">
                <a16:creationId xmlns:a16="http://schemas.microsoft.com/office/drawing/2014/main" id="{83202D8A-4537-E755-6E32-58323610FC21}"/>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752474</xdr:colOff>
      <xdr:row>23</xdr:row>
      <xdr:rowOff>176212</xdr:rowOff>
    </xdr:from>
    <xdr:to>
      <xdr:col>2</xdr:col>
      <xdr:colOff>1809749</xdr:colOff>
      <xdr:row>25</xdr:row>
      <xdr:rowOff>114300</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590674" y="5300662"/>
          <a:ext cx="1057275" cy="35718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300">
              <a:latin typeface="+mn-lt"/>
            </a:rPr>
            <a:t>Intangibles</a:t>
          </a:r>
        </a:p>
      </xdr:txBody>
    </xdr:sp>
    <xdr:clientData/>
  </xdr:twoCellAnchor>
  <xdr:twoCellAnchor>
    <xdr:from>
      <xdr:col>0</xdr:col>
      <xdr:colOff>66675</xdr:colOff>
      <xdr:row>0</xdr:row>
      <xdr:rowOff>152400</xdr:rowOff>
    </xdr:from>
    <xdr:to>
      <xdr:col>14</xdr:col>
      <xdr:colOff>123824</xdr:colOff>
      <xdr:row>0</xdr:row>
      <xdr:rowOff>695325</xdr:rowOff>
    </xdr:to>
    <xdr:grpSp>
      <xdr:nvGrpSpPr>
        <xdr:cNvPr id="13" name="Grupo 12">
          <a:extLst>
            <a:ext uri="{FF2B5EF4-FFF2-40B4-BE49-F238E27FC236}">
              <a16:creationId xmlns:a16="http://schemas.microsoft.com/office/drawing/2014/main" id="{62D09F16-F11A-4C24-B40C-037F16127726}"/>
            </a:ext>
          </a:extLst>
        </xdr:cNvPr>
        <xdr:cNvGrpSpPr/>
      </xdr:nvGrpSpPr>
      <xdr:grpSpPr>
        <a:xfrm>
          <a:off x="66675" y="152400"/>
          <a:ext cx="16624299" cy="542925"/>
          <a:chOff x="95250" y="228601"/>
          <a:chExt cx="15830549" cy="485774"/>
        </a:xfrm>
      </xdr:grpSpPr>
      <xdr:sp macro="[0]!Mercado" textlink="">
        <xdr:nvSpPr>
          <xdr:cNvPr id="18" name="Rectángulo: esquinas redondeadas 17">
            <a:extLst>
              <a:ext uri="{FF2B5EF4-FFF2-40B4-BE49-F238E27FC236}">
                <a16:creationId xmlns:a16="http://schemas.microsoft.com/office/drawing/2014/main" id="{F7448573-4D98-3CFE-D926-42F92D25F1EC}"/>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19" name="Rectángulo: esquinas redondeadas 18">
            <a:extLst>
              <a:ext uri="{FF2B5EF4-FFF2-40B4-BE49-F238E27FC236}">
                <a16:creationId xmlns:a16="http://schemas.microsoft.com/office/drawing/2014/main" id="{B55418FF-6E0B-60A0-A679-A1DC5FE4144A}"/>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0" name="Rectángulo: esquinas redondeadas 19">
            <a:extLst>
              <a:ext uri="{FF2B5EF4-FFF2-40B4-BE49-F238E27FC236}">
                <a16:creationId xmlns:a16="http://schemas.microsoft.com/office/drawing/2014/main" id="{7EFE426B-BB0B-A2FE-3A12-B72E7DE59997}"/>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1" name="Rectángulo: esquinas redondeadas 20">
            <a:extLst>
              <a:ext uri="{FF2B5EF4-FFF2-40B4-BE49-F238E27FC236}">
                <a16:creationId xmlns:a16="http://schemas.microsoft.com/office/drawing/2014/main" id="{633EC492-6146-B281-3CD1-07AD87D99228}"/>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2" name="Rectángulo: esquinas redondeadas 21">
            <a:extLst>
              <a:ext uri="{FF2B5EF4-FFF2-40B4-BE49-F238E27FC236}">
                <a16:creationId xmlns:a16="http://schemas.microsoft.com/office/drawing/2014/main" id="{4B62ADDA-F252-1910-16B9-2A5655AC7C30}"/>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3" name="Rectángulo: esquinas redondeadas 22">
            <a:extLst>
              <a:ext uri="{FF2B5EF4-FFF2-40B4-BE49-F238E27FC236}">
                <a16:creationId xmlns:a16="http://schemas.microsoft.com/office/drawing/2014/main" id="{FABCE728-AEA0-1FA9-5CBD-907031A075E2}"/>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24" name="Rectángulo: esquinas redondeadas 23">
            <a:extLst>
              <a:ext uri="{FF2B5EF4-FFF2-40B4-BE49-F238E27FC236}">
                <a16:creationId xmlns:a16="http://schemas.microsoft.com/office/drawing/2014/main" id="{B3C25E0A-D6FA-F8EA-76BB-F433DB69E96F}"/>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25" name="Rectángulo: esquinas redondeadas 24">
            <a:extLst>
              <a:ext uri="{FF2B5EF4-FFF2-40B4-BE49-F238E27FC236}">
                <a16:creationId xmlns:a16="http://schemas.microsoft.com/office/drawing/2014/main" id="{E8244359-09B8-97F1-650D-859A5C3C7D6B}"/>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26" name="Rectángulo: esquinas redondeadas 25">
            <a:extLst>
              <a:ext uri="{FF2B5EF4-FFF2-40B4-BE49-F238E27FC236}">
                <a16:creationId xmlns:a16="http://schemas.microsoft.com/office/drawing/2014/main" id="{3D2CD8B2-8ABB-F794-17C1-9E67A685292B}"/>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27" name="Rectángulo: esquinas redondeadas 26">
            <a:extLst>
              <a:ext uri="{FF2B5EF4-FFF2-40B4-BE49-F238E27FC236}">
                <a16:creationId xmlns:a16="http://schemas.microsoft.com/office/drawing/2014/main" id="{BEE72010-D46B-247A-D475-A1C7691ACD11}"/>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28" name="Rectángulo: esquinas redondeadas 27">
            <a:extLst>
              <a:ext uri="{FF2B5EF4-FFF2-40B4-BE49-F238E27FC236}">
                <a16:creationId xmlns:a16="http://schemas.microsoft.com/office/drawing/2014/main" id="{07BD43FB-5050-30D5-3853-2C8E4E01510F}"/>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5" name="Rectángulo: esquinas redondeadas 34">
            <a:extLst>
              <a:ext uri="{FF2B5EF4-FFF2-40B4-BE49-F238E27FC236}">
                <a16:creationId xmlns:a16="http://schemas.microsoft.com/office/drawing/2014/main" id="{28852798-C7B4-4B87-4947-F2EB2D24CC35}"/>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6" name="Rectángulo: esquinas redondeadas 35">
            <a:extLst>
              <a:ext uri="{FF2B5EF4-FFF2-40B4-BE49-F238E27FC236}">
                <a16:creationId xmlns:a16="http://schemas.microsoft.com/office/drawing/2014/main" id="{41C26F45-3CFA-29CC-045F-B47F23840C50}"/>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114300</xdr:rowOff>
    </xdr:from>
    <xdr:to>
      <xdr:col>12</xdr:col>
      <xdr:colOff>742949</xdr:colOff>
      <xdr:row>0</xdr:row>
      <xdr:rowOff>657225</xdr:rowOff>
    </xdr:to>
    <xdr:grpSp>
      <xdr:nvGrpSpPr>
        <xdr:cNvPr id="12" name="Grupo 11">
          <a:extLst>
            <a:ext uri="{FF2B5EF4-FFF2-40B4-BE49-F238E27FC236}">
              <a16:creationId xmlns:a16="http://schemas.microsoft.com/office/drawing/2014/main" id="{B233A4D2-11C2-44DC-8221-AB7EF1ADE674}"/>
            </a:ext>
          </a:extLst>
        </xdr:cNvPr>
        <xdr:cNvGrpSpPr/>
      </xdr:nvGrpSpPr>
      <xdr:grpSpPr>
        <a:xfrm>
          <a:off x="38100" y="114300"/>
          <a:ext cx="16579849" cy="542925"/>
          <a:chOff x="95250" y="228601"/>
          <a:chExt cx="15830549" cy="485774"/>
        </a:xfrm>
      </xdr:grpSpPr>
      <xdr:sp macro="[0]!Mercado" textlink="">
        <xdr:nvSpPr>
          <xdr:cNvPr id="23" name="Rectángulo: esquinas redondeadas 22">
            <a:extLst>
              <a:ext uri="{FF2B5EF4-FFF2-40B4-BE49-F238E27FC236}">
                <a16:creationId xmlns:a16="http://schemas.microsoft.com/office/drawing/2014/main" id="{8DBE6E07-3386-1A30-E690-9A6C23B659BB}"/>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4" name="Rectángulo: esquinas redondeadas 23">
            <a:extLst>
              <a:ext uri="{FF2B5EF4-FFF2-40B4-BE49-F238E27FC236}">
                <a16:creationId xmlns:a16="http://schemas.microsoft.com/office/drawing/2014/main" id="{2BDEE0CE-E55A-7E92-66F5-253D99218FA7}"/>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5" name="Rectángulo: esquinas redondeadas 24">
            <a:extLst>
              <a:ext uri="{FF2B5EF4-FFF2-40B4-BE49-F238E27FC236}">
                <a16:creationId xmlns:a16="http://schemas.microsoft.com/office/drawing/2014/main" id="{ABB42EC4-BECA-7D53-B759-96CC2284689A}"/>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6" name="Rectángulo: esquinas redondeadas 25">
            <a:extLst>
              <a:ext uri="{FF2B5EF4-FFF2-40B4-BE49-F238E27FC236}">
                <a16:creationId xmlns:a16="http://schemas.microsoft.com/office/drawing/2014/main" id="{E0C23749-AED2-2DC3-5C20-F29C58D09639}"/>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7" name="Rectángulo: esquinas redondeadas 26">
            <a:extLst>
              <a:ext uri="{FF2B5EF4-FFF2-40B4-BE49-F238E27FC236}">
                <a16:creationId xmlns:a16="http://schemas.microsoft.com/office/drawing/2014/main" id="{8377D834-7472-8FEC-68EC-A61F7C120B9A}"/>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8" name="Rectángulo: esquinas redondeadas 27">
            <a:extLst>
              <a:ext uri="{FF2B5EF4-FFF2-40B4-BE49-F238E27FC236}">
                <a16:creationId xmlns:a16="http://schemas.microsoft.com/office/drawing/2014/main" id="{EEB95AD1-BA54-BF04-1AA8-B2D284DF7FD9}"/>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29" name="Rectángulo: esquinas redondeadas 28">
            <a:extLst>
              <a:ext uri="{FF2B5EF4-FFF2-40B4-BE49-F238E27FC236}">
                <a16:creationId xmlns:a16="http://schemas.microsoft.com/office/drawing/2014/main" id="{3C41CACA-756C-F489-A1AA-F1F1E0CC4C63}"/>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0" name="Rectángulo: esquinas redondeadas 29">
            <a:extLst>
              <a:ext uri="{FF2B5EF4-FFF2-40B4-BE49-F238E27FC236}">
                <a16:creationId xmlns:a16="http://schemas.microsoft.com/office/drawing/2014/main" id="{0B70A0CC-7CE0-655B-DD84-1BCEF26025B1}"/>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1" name="Rectángulo: esquinas redondeadas 30">
            <a:extLst>
              <a:ext uri="{FF2B5EF4-FFF2-40B4-BE49-F238E27FC236}">
                <a16:creationId xmlns:a16="http://schemas.microsoft.com/office/drawing/2014/main" id="{1934C31F-F061-6FB8-4A52-F4851C06A4F5}"/>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2" name="Rectángulo: esquinas redondeadas 31">
            <a:extLst>
              <a:ext uri="{FF2B5EF4-FFF2-40B4-BE49-F238E27FC236}">
                <a16:creationId xmlns:a16="http://schemas.microsoft.com/office/drawing/2014/main" id="{C7B50F7E-351B-6361-3D10-BF75C2A35E0B}"/>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3" name="Rectángulo: esquinas redondeadas 32">
            <a:extLst>
              <a:ext uri="{FF2B5EF4-FFF2-40B4-BE49-F238E27FC236}">
                <a16:creationId xmlns:a16="http://schemas.microsoft.com/office/drawing/2014/main" id="{4E21F948-7E32-E848-3F94-F12439300F97}"/>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4" name="Rectángulo: esquinas redondeadas 33">
            <a:extLst>
              <a:ext uri="{FF2B5EF4-FFF2-40B4-BE49-F238E27FC236}">
                <a16:creationId xmlns:a16="http://schemas.microsoft.com/office/drawing/2014/main" id="{6F2303EC-60CE-3DC9-7DF9-9A9088CEDD2F}"/>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5" name="Rectángulo: esquinas redondeadas 34">
            <a:extLst>
              <a:ext uri="{FF2B5EF4-FFF2-40B4-BE49-F238E27FC236}">
                <a16:creationId xmlns:a16="http://schemas.microsoft.com/office/drawing/2014/main" id="{CE636B05-D03F-0A54-4F5F-41EEAE239600}"/>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xdr:colOff>
      <xdr:row>0</xdr:row>
      <xdr:rowOff>38100</xdr:rowOff>
    </xdr:from>
    <xdr:to>
      <xdr:col>17</xdr:col>
      <xdr:colOff>161924</xdr:colOff>
      <xdr:row>3</xdr:row>
      <xdr:rowOff>9525</xdr:rowOff>
    </xdr:to>
    <xdr:grpSp>
      <xdr:nvGrpSpPr>
        <xdr:cNvPr id="32" name="Grupo 31">
          <a:extLst>
            <a:ext uri="{FF2B5EF4-FFF2-40B4-BE49-F238E27FC236}">
              <a16:creationId xmlns:a16="http://schemas.microsoft.com/office/drawing/2014/main" id="{6E0FA812-76D0-4AD7-9063-50F99AA63B71}"/>
            </a:ext>
          </a:extLst>
        </xdr:cNvPr>
        <xdr:cNvGrpSpPr/>
      </xdr:nvGrpSpPr>
      <xdr:grpSpPr>
        <a:xfrm>
          <a:off x="28575" y="38100"/>
          <a:ext cx="16402049" cy="523875"/>
          <a:chOff x="95250" y="228601"/>
          <a:chExt cx="15830549" cy="485774"/>
        </a:xfrm>
      </xdr:grpSpPr>
      <xdr:sp macro="[0]!Mercado" textlink="">
        <xdr:nvSpPr>
          <xdr:cNvPr id="33" name="Rectángulo: esquinas redondeadas 32">
            <a:extLst>
              <a:ext uri="{FF2B5EF4-FFF2-40B4-BE49-F238E27FC236}">
                <a16:creationId xmlns:a16="http://schemas.microsoft.com/office/drawing/2014/main" id="{82644E3D-6CB8-3114-584E-B5C056CD0C7C}"/>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34" name="Rectángulo: esquinas redondeadas 33">
            <a:extLst>
              <a:ext uri="{FF2B5EF4-FFF2-40B4-BE49-F238E27FC236}">
                <a16:creationId xmlns:a16="http://schemas.microsoft.com/office/drawing/2014/main" id="{AACE6EF2-2883-ABF9-558C-C11BFFD2B6A7}"/>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35" name="Rectángulo: esquinas redondeadas 34">
            <a:extLst>
              <a:ext uri="{FF2B5EF4-FFF2-40B4-BE49-F238E27FC236}">
                <a16:creationId xmlns:a16="http://schemas.microsoft.com/office/drawing/2014/main" id="{A63CD2B1-041F-47FD-3280-EC637032A7E8}"/>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36" name="Rectángulo: esquinas redondeadas 35">
            <a:extLst>
              <a:ext uri="{FF2B5EF4-FFF2-40B4-BE49-F238E27FC236}">
                <a16:creationId xmlns:a16="http://schemas.microsoft.com/office/drawing/2014/main" id="{53C384DB-9502-1673-E67F-84BA84D45AFC}"/>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37" name="Rectángulo: esquinas redondeadas 36">
            <a:extLst>
              <a:ext uri="{FF2B5EF4-FFF2-40B4-BE49-F238E27FC236}">
                <a16:creationId xmlns:a16="http://schemas.microsoft.com/office/drawing/2014/main" id="{61903CD6-B910-7B45-07E8-6EA9E5D9E315}"/>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38" name="Rectángulo: esquinas redondeadas 37">
            <a:extLst>
              <a:ext uri="{FF2B5EF4-FFF2-40B4-BE49-F238E27FC236}">
                <a16:creationId xmlns:a16="http://schemas.microsoft.com/office/drawing/2014/main" id="{8EC244A1-94E9-713C-C990-9BA1AC4C15AA}"/>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39" name="Rectángulo: esquinas redondeadas 38">
            <a:extLst>
              <a:ext uri="{FF2B5EF4-FFF2-40B4-BE49-F238E27FC236}">
                <a16:creationId xmlns:a16="http://schemas.microsoft.com/office/drawing/2014/main" id="{8BD0626B-0D4E-E19A-DD96-BDC7AC5707FE}"/>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40" name="Rectángulo: esquinas redondeadas 39">
            <a:extLst>
              <a:ext uri="{FF2B5EF4-FFF2-40B4-BE49-F238E27FC236}">
                <a16:creationId xmlns:a16="http://schemas.microsoft.com/office/drawing/2014/main" id="{74EAF98B-885B-781D-2D43-F35D00BCFF32}"/>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41" name="Rectángulo: esquinas redondeadas 40">
            <a:extLst>
              <a:ext uri="{FF2B5EF4-FFF2-40B4-BE49-F238E27FC236}">
                <a16:creationId xmlns:a16="http://schemas.microsoft.com/office/drawing/2014/main" id="{C7F2AD6E-BD85-7C9A-67A1-D7196B446625}"/>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42" name="Rectángulo: esquinas redondeadas 41">
            <a:extLst>
              <a:ext uri="{FF2B5EF4-FFF2-40B4-BE49-F238E27FC236}">
                <a16:creationId xmlns:a16="http://schemas.microsoft.com/office/drawing/2014/main" id="{D20C0E68-C52B-1148-082A-003A7F53CB47}"/>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43" name="Rectángulo: esquinas redondeadas 42">
            <a:extLst>
              <a:ext uri="{FF2B5EF4-FFF2-40B4-BE49-F238E27FC236}">
                <a16:creationId xmlns:a16="http://schemas.microsoft.com/office/drawing/2014/main" id="{19A07D1E-3D6E-0CF8-AE88-6C6FCE78EF0B}"/>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44" name="Rectángulo: esquinas redondeadas 43">
            <a:extLst>
              <a:ext uri="{FF2B5EF4-FFF2-40B4-BE49-F238E27FC236}">
                <a16:creationId xmlns:a16="http://schemas.microsoft.com/office/drawing/2014/main" id="{DD4A7AE4-B8CE-F228-8490-4742AB662E73}"/>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45" name="Rectángulo: esquinas redondeadas 44">
            <a:extLst>
              <a:ext uri="{FF2B5EF4-FFF2-40B4-BE49-F238E27FC236}">
                <a16:creationId xmlns:a16="http://schemas.microsoft.com/office/drawing/2014/main" id="{1986384D-FC56-76AC-CE26-4D494C477ABF}"/>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0</xdr:row>
      <xdr:rowOff>142875</xdr:rowOff>
    </xdr:from>
    <xdr:to>
      <xdr:col>18</xdr:col>
      <xdr:colOff>647699</xdr:colOff>
      <xdr:row>0</xdr:row>
      <xdr:rowOff>685800</xdr:rowOff>
    </xdr:to>
    <xdr:grpSp>
      <xdr:nvGrpSpPr>
        <xdr:cNvPr id="12" name="Grupo 11">
          <a:extLst>
            <a:ext uri="{FF2B5EF4-FFF2-40B4-BE49-F238E27FC236}">
              <a16:creationId xmlns:a16="http://schemas.microsoft.com/office/drawing/2014/main" id="{433E7352-3791-4F8E-A5BC-5B9CCBB861A2}"/>
            </a:ext>
          </a:extLst>
        </xdr:cNvPr>
        <xdr:cNvGrpSpPr/>
      </xdr:nvGrpSpPr>
      <xdr:grpSpPr>
        <a:xfrm>
          <a:off x="38100" y="142875"/>
          <a:ext cx="16592549" cy="542925"/>
          <a:chOff x="95250" y="228601"/>
          <a:chExt cx="15830549" cy="485774"/>
        </a:xfrm>
      </xdr:grpSpPr>
      <xdr:sp macro="[0]!Mercado" textlink="">
        <xdr:nvSpPr>
          <xdr:cNvPr id="23" name="Rectángulo: esquinas redondeadas 22">
            <a:extLst>
              <a:ext uri="{FF2B5EF4-FFF2-40B4-BE49-F238E27FC236}">
                <a16:creationId xmlns:a16="http://schemas.microsoft.com/office/drawing/2014/main" id="{C5307F1D-CD88-86CD-BB3F-1DE431B8F905}"/>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4" name="Rectángulo: esquinas redondeadas 23">
            <a:extLst>
              <a:ext uri="{FF2B5EF4-FFF2-40B4-BE49-F238E27FC236}">
                <a16:creationId xmlns:a16="http://schemas.microsoft.com/office/drawing/2014/main" id="{67E1BC93-090C-0122-9225-EC6877DC0E01}"/>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5" name="Rectángulo: esquinas redondeadas 24">
            <a:extLst>
              <a:ext uri="{FF2B5EF4-FFF2-40B4-BE49-F238E27FC236}">
                <a16:creationId xmlns:a16="http://schemas.microsoft.com/office/drawing/2014/main" id="{1F750773-2B8B-6A90-3A5F-EC7FF683D91F}"/>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6" name="Rectángulo: esquinas redondeadas 25">
            <a:extLst>
              <a:ext uri="{FF2B5EF4-FFF2-40B4-BE49-F238E27FC236}">
                <a16:creationId xmlns:a16="http://schemas.microsoft.com/office/drawing/2014/main" id="{3809DD69-3F0A-9ED7-96FA-7900EF090EE9}"/>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7" name="Rectángulo: esquinas redondeadas 26">
            <a:extLst>
              <a:ext uri="{FF2B5EF4-FFF2-40B4-BE49-F238E27FC236}">
                <a16:creationId xmlns:a16="http://schemas.microsoft.com/office/drawing/2014/main" id="{9AF48E80-762D-6A88-D2DA-65B7024BB033}"/>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8" name="Rectángulo: esquinas redondeadas 27">
            <a:extLst>
              <a:ext uri="{FF2B5EF4-FFF2-40B4-BE49-F238E27FC236}">
                <a16:creationId xmlns:a16="http://schemas.microsoft.com/office/drawing/2014/main" id="{8FA93A3E-E922-F186-809B-6A8ED03CC142}"/>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29" name="Rectángulo: esquinas redondeadas 28">
            <a:extLst>
              <a:ext uri="{FF2B5EF4-FFF2-40B4-BE49-F238E27FC236}">
                <a16:creationId xmlns:a16="http://schemas.microsoft.com/office/drawing/2014/main" id="{9D2B7CDD-B969-224B-D438-65007FFF70BA}"/>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0" name="Rectángulo: esquinas redondeadas 29">
            <a:extLst>
              <a:ext uri="{FF2B5EF4-FFF2-40B4-BE49-F238E27FC236}">
                <a16:creationId xmlns:a16="http://schemas.microsoft.com/office/drawing/2014/main" id="{65EB45A6-2941-D87F-0000-6F2092558BB4}"/>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1" name="Rectángulo: esquinas redondeadas 30">
            <a:extLst>
              <a:ext uri="{FF2B5EF4-FFF2-40B4-BE49-F238E27FC236}">
                <a16:creationId xmlns:a16="http://schemas.microsoft.com/office/drawing/2014/main" id="{E2690042-A9FE-ACB7-9BB7-996373476234}"/>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2" name="Rectángulo: esquinas redondeadas 31">
            <a:extLst>
              <a:ext uri="{FF2B5EF4-FFF2-40B4-BE49-F238E27FC236}">
                <a16:creationId xmlns:a16="http://schemas.microsoft.com/office/drawing/2014/main" id="{D6337D1F-74B4-8463-3086-1FC0AC8E0D33}"/>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3" name="Rectángulo: esquinas redondeadas 32">
            <a:extLst>
              <a:ext uri="{FF2B5EF4-FFF2-40B4-BE49-F238E27FC236}">
                <a16:creationId xmlns:a16="http://schemas.microsoft.com/office/drawing/2014/main" id="{863CD98B-83BE-CFD3-8933-165C192189E4}"/>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4" name="Rectángulo: esquinas redondeadas 33">
            <a:extLst>
              <a:ext uri="{FF2B5EF4-FFF2-40B4-BE49-F238E27FC236}">
                <a16:creationId xmlns:a16="http://schemas.microsoft.com/office/drawing/2014/main" id="{FA705CE7-DE04-2025-6667-206268915E49}"/>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5" name="Rectángulo: esquinas redondeadas 34">
            <a:extLst>
              <a:ext uri="{FF2B5EF4-FFF2-40B4-BE49-F238E27FC236}">
                <a16:creationId xmlns:a16="http://schemas.microsoft.com/office/drawing/2014/main" id="{726E5BFC-492F-6796-7484-246A1FBFC114}"/>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76200</xdr:colOff>
      <xdr:row>0</xdr:row>
      <xdr:rowOff>47625</xdr:rowOff>
    </xdr:from>
    <xdr:to>
      <xdr:col>13</xdr:col>
      <xdr:colOff>438149</xdr:colOff>
      <xdr:row>3</xdr:row>
      <xdr:rowOff>19050</xdr:rowOff>
    </xdr:to>
    <xdr:grpSp>
      <xdr:nvGrpSpPr>
        <xdr:cNvPr id="22" name="Grupo 21">
          <a:extLst>
            <a:ext uri="{FF2B5EF4-FFF2-40B4-BE49-F238E27FC236}">
              <a16:creationId xmlns:a16="http://schemas.microsoft.com/office/drawing/2014/main" id="{FF1EFF75-FC9D-4181-9E45-C96FE6C2F464}"/>
            </a:ext>
          </a:extLst>
        </xdr:cNvPr>
        <xdr:cNvGrpSpPr/>
      </xdr:nvGrpSpPr>
      <xdr:grpSpPr>
        <a:xfrm>
          <a:off x="76200" y="47625"/>
          <a:ext cx="16370299" cy="523875"/>
          <a:chOff x="95250" y="228601"/>
          <a:chExt cx="15830549" cy="485774"/>
        </a:xfrm>
      </xdr:grpSpPr>
      <xdr:sp macro="[0]!Mercado" textlink="">
        <xdr:nvSpPr>
          <xdr:cNvPr id="23" name="Rectángulo: esquinas redondeadas 22">
            <a:extLst>
              <a:ext uri="{FF2B5EF4-FFF2-40B4-BE49-F238E27FC236}">
                <a16:creationId xmlns:a16="http://schemas.microsoft.com/office/drawing/2014/main" id="{D7FB8CB0-715F-F2C5-9E14-58D75CA8345D}"/>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4" name="Rectángulo: esquinas redondeadas 23">
            <a:extLst>
              <a:ext uri="{FF2B5EF4-FFF2-40B4-BE49-F238E27FC236}">
                <a16:creationId xmlns:a16="http://schemas.microsoft.com/office/drawing/2014/main" id="{D81D16E6-E778-F903-D11E-E51415C72B7D}"/>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5" name="Rectángulo: esquinas redondeadas 24">
            <a:extLst>
              <a:ext uri="{FF2B5EF4-FFF2-40B4-BE49-F238E27FC236}">
                <a16:creationId xmlns:a16="http://schemas.microsoft.com/office/drawing/2014/main" id="{D2A8AB06-7E18-643B-3CF0-F669BBD1CB58}"/>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6" name="Rectángulo: esquinas redondeadas 25">
            <a:extLst>
              <a:ext uri="{FF2B5EF4-FFF2-40B4-BE49-F238E27FC236}">
                <a16:creationId xmlns:a16="http://schemas.microsoft.com/office/drawing/2014/main" id="{24F6B98D-CC81-F470-E9F3-1BCAC2EA6B3C}"/>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7" name="Rectángulo: esquinas redondeadas 26">
            <a:extLst>
              <a:ext uri="{FF2B5EF4-FFF2-40B4-BE49-F238E27FC236}">
                <a16:creationId xmlns:a16="http://schemas.microsoft.com/office/drawing/2014/main" id="{EB8BD976-6906-B9D2-5CEB-838479909EDE}"/>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8" name="Rectángulo: esquinas redondeadas 27">
            <a:extLst>
              <a:ext uri="{FF2B5EF4-FFF2-40B4-BE49-F238E27FC236}">
                <a16:creationId xmlns:a16="http://schemas.microsoft.com/office/drawing/2014/main" id="{B8393C9F-3F43-21FD-3131-FCD30053ECAD}"/>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29" name="Rectángulo: esquinas redondeadas 28">
            <a:extLst>
              <a:ext uri="{FF2B5EF4-FFF2-40B4-BE49-F238E27FC236}">
                <a16:creationId xmlns:a16="http://schemas.microsoft.com/office/drawing/2014/main" id="{7CD26F29-DF2A-F704-BD86-521712E4C1FB}"/>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0" name="Rectángulo: esquinas redondeadas 29">
            <a:extLst>
              <a:ext uri="{FF2B5EF4-FFF2-40B4-BE49-F238E27FC236}">
                <a16:creationId xmlns:a16="http://schemas.microsoft.com/office/drawing/2014/main" id="{E53A3CA2-C5A3-6235-9299-D0ECCBE12A84}"/>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1" name="Rectángulo: esquinas redondeadas 30">
            <a:extLst>
              <a:ext uri="{FF2B5EF4-FFF2-40B4-BE49-F238E27FC236}">
                <a16:creationId xmlns:a16="http://schemas.microsoft.com/office/drawing/2014/main" id="{7B959259-9CCF-FCD3-07E6-8CF3AA4EEBB4}"/>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2" name="Rectángulo: esquinas redondeadas 31">
            <a:extLst>
              <a:ext uri="{FF2B5EF4-FFF2-40B4-BE49-F238E27FC236}">
                <a16:creationId xmlns:a16="http://schemas.microsoft.com/office/drawing/2014/main" id="{38CBDDC7-C670-D82E-6DEE-FF8875513A16}"/>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3" name="Rectángulo: esquinas redondeadas 32">
            <a:extLst>
              <a:ext uri="{FF2B5EF4-FFF2-40B4-BE49-F238E27FC236}">
                <a16:creationId xmlns:a16="http://schemas.microsoft.com/office/drawing/2014/main" id="{6190A90D-A0FA-A15E-2212-36DAD043187A}"/>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4" name="Rectángulo: esquinas redondeadas 33">
            <a:extLst>
              <a:ext uri="{FF2B5EF4-FFF2-40B4-BE49-F238E27FC236}">
                <a16:creationId xmlns:a16="http://schemas.microsoft.com/office/drawing/2014/main" id="{AC427B1F-C8F7-CCE2-9408-ABFA343FB664}"/>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5" name="Rectángulo: esquinas redondeadas 34">
            <a:extLst>
              <a:ext uri="{FF2B5EF4-FFF2-40B4-BE49-F238E27FC236}">
                <a16:creationId xmlns:a16="http://schemas.microsoft.com/office/drawing/2014/main" id="{4373DF64-0CE9-5354-3FD4-2259B03BD99C}"/>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19049</xdr:colOff>
      <xdr:row>5</xdr:row>
      <xdr:rowOff>19050</xdr:rowOff>
    </xdr:from>
    <xdr:to>
      <xdr:col>18</xdr:col>
      <xdr:colOff>733424</xdr:colOff>
      <xdr:row>20</xdr:row>
      <xdr:rowOff>85725</xdr:rowOff>
    </xdr:to>
    <xdr:graphicFrame macro="">
      <xdr:nvGraphicFramePr>
        <xdr:cNvPr id="2" name="Gráfico 2">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0</xdr:row>
      <xdr:rowOff>28575</xdr:rowOff>
    </xdr:from>
    <xdr:to>
      <xdr:col>23</xdr:col>
      <xdr:colOff>228599</xdr:colOff>
      <xdr:row>3</xdr:row>
      <xdr:rowOff>0</xdr:rowOff>
    </xdr:to>
    <xdr:grpSp>
      <xdr:nvGrpSpPr>
        <xdr:cNvPr id="27" name="Grupo 26">
          <a:extLst>
            <a:ext uri="{FF2B5EF4-FFF2-40B4-BE49-F238E27FC236}">
              <a16:creationId xmlns:a16="http://schemas.microsoft.com/office/drawing/2014/main" id="{429EB93E-5858-42E1-B2D9-332996F47EFE}"/>
            </a:ext>
          </a:extLst>
        </xdr:cNvPr>
        <xdr:cNvGrpSpPr/>
      </xdr:nvGrpSpPr>
      <xdr:grpSpPr>
        <a:xfrm>
          <a:off x="19050" y="28575"/>
          <a:ext cx="16076612" cy="519113"/>
          <a:chOff x="95250" y="228601"/>
          <a:chExt cx="15830549" cy="485774"/>
        </a:xfrm>
      </xdr:grpSpPr>
      <xdr:sp macro="[0]!Mercado" textlink="">
        <xdr:nvSpPr>
          <xdr:cNvPr id="28" name="Rectángulo: esquinas redondeadas 27">
            <a:extLst>
              <a:ext uri="{FF2B5EF4-FFF2-40B4-BE49-F238E27FC236}">
                <a16:creationId xmlns:a16="http://schemas.microsoft.com/office/drawing/2014/main" id="{ABD93ED8-6DC4-8957-3D18-B922F1172524}"/>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9" name="Rectángulo: esquinas redondeadas 28">
            <a:extLst>
              <a:ext uri="{FF2B5EF4-FFF2-40B4-BE49-F238E27FC236}">
                <a16:creationId xmlns:a16="http://schemas.microsoft.com/office/drawing/2014/main" id="{241DB76F-1350-ED1C-447A-4D1B7352C155}"/>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30" name="Rectángulo: esquinas redondeadas 29">
            <a:extLst>
              <a:ext uri="{FF2B5EF4-FFF2-40B4-BE49-F238E27FC236}">
                <a16:creationId xmlns:a16="http://schemas.microsoft.com/office/drawing/2014/main" id="{0C1751D7-D131-D9CF-5007-62E9152206C2}"/>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31" name="Rectángulo: esquinas redondeadas 30">
            <a:extLst>
              <a:ext uri="{FF2B5EF4-FFF2-40B4-BE49-F238E27FC236}">
                <a16:creationId xmlns:a16="http://schemas.microsoft.com/office/drawing/2014/main" id="{E5E4BD4E-7A02-234E-E7F3-4C7DC9D817AD}"/>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32" name="Rectángulo: esquinas redondeadas 31">
            <a:extLst>
              <a:ext uri="{FF2B5EF4-FFF2-40B4-BE49-F238E27FC236}">
                <a16:creationId xmlns:a16="http://schemas.microsoft.com/office/drawing/2014/main" id="{70441F07-54B0-3827-206E-7D32A33B3C0F}"/>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33" name="Rectángulo: esquinas redondeadas 32">
            <a:extLst>
              <a:ext uri="{FF2B5EF4-FFF2-40B4-BE49-F238E27FC236}">
                <a16:creationId xmlns:a16="http://schemas.microsoft.com/office/drawing/2014/main" id="{DB67A898-E17B-F510-B0FF-F2581653EEB8}"/>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34" name="Rectángulo: esquinas redondeadas 33">
            <a:extLst>
              <a:ext uri="{FF2B5EF4-FFF2-40B4-BE49-F238E27FC236}">
                <a16:creationId xmlns:a16="http://schemas.microsoft.com/office/drawing/2014/main" id="{DFB319EE-1B18-094A-E254-61AF7A4A9284}"/>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5" name="Rectángulo: esquinas redondeadas 34">
            <a:extLst>
              <a:ext uri="{FF2B5EF4-FFF2-40B4-BE49-F238E27FC236}">
                <a16:creationId xmlns:a16="http://schemas.microsoft.com/office/drawing/2014/main" id="{C7A22795-907F-D246-9A0F-A3FB93C04EFC}"/>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6" name="Rectángulo: esquinas redondeadas 35">
            <a:extLst>
              <a:ext uri="{FF2B5EF4-FFF2-40B4-BE49-F238E27FC236}">
                <a16:creationId xmlns:a16="http://schemas.microsoft.com/office/drawing/2014/main" id="{7FE0D98C-B9D5-DF66-5C83-CC278C32816C}"/>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7" name="Rectángulo: esquinas redondeadas 36">
            <a:extLst>
              <a:ext uri="{FF2B5EF4-FFF2-40B4-BE49-F238E27FC236}">
                <a16:creationId xmlns:a16="http://schemas.microsoft.com/office/drawing/2014/main" id="{1328B6C8-430D-20E0-1665-54101FB682FA}"/>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8" name="Rectángulo: esquinas redondeadas 37">
            <a:extLst>
              <a:ext uri="{FF2B5EF4-FFF2-40B4-BE49-F238E27FC236}">
                <a16:creationId xmlns:a16="http://schemas.microsoft.com/office/drawing/2014/main" id="{8D3CF7B4-42C9-68AA-88FD-2C4C9AC255F4}"/>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9" name="Rectángulo: esquinas redondeadas 38">
            <a:extLst>
              <a:ext uri="{FF2B5EF4-FFF2-40B4-BE49-F238E27FC236}">
                <a16:creationId xmlns:a16="http://schemas.microsoft.com/office/drawing/2014/main" id="{D6C1A88F-52C0-6C71-7965-D6954566A5CA}"/>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40" name="Rectángulo: esquinas redondeadas 39">
            <a:extLst>
              <a:ext uri="{FF2B5EF4-FFF2-40B4-BE49-F238E27FC236}">
                <a16:creationId xmlns:a16="http://schemas.microsoft.com/office/drawing/2014/main" id="{07072A89-7377-2D87-50EF-F5CEF92739DB}"/>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10</xdr:col>
      <xdr:colOff>1371599</xdr:colOff>
      <xdr:row>3</xdr:row>
      <xdr:rowOff>9525</xdr:rowOff>
    </xdr:to>
    <xdr:grpSp>
      <xdr:nvGrpSpPr>
        <xdr:cNvPr id="12" name="Grupo 11">
          <a:extLst>
            <a:ext uri="{FF2B5EF4-FFF2-40B4-BE49-F238E27FC236}">
              <a16:creationId xmlns:a16="http://schemas.microsoft.com/office/drawing/2014/main" id="{A98BF192-0573-4772-B451-1112821D20A4}"/>
            </a:ext>
          </a:extLst>
        </xdr:cNvPr>
        <xdr:cNvGrpSpPr/>
      </xdr:nvGrpSpPr>
      <xdr:grpSpPr>
        <a:xfrm>
          <a:off x="38100" y="38100"/>
          <a:ext cx="16560799" cy="523875"/>
          <a:chOff x="95250" y="228601"/>
          <a:chExt cx="15830549" cy="485774"/>
        </a:xfrm>
      </xdr:grpSpPr>
      <xdr:sp macro="[0]!Mercado" textlink="">
        <xdr:nvSpPr>
          <xdr:cNvPr id="13" name="Rectángulo: esquinas redondeadas 12">
            <a:extLst>
              <a:ext uri="{FF2B5EF4-FFF2-40B4-BE49-F238E27FC236}">
                <a16:creationId xmlns:a16="http://schemas.microsoft.com/office/drawing/2014/main" id="{54D585EB-763F-548A-068D-84A048529B89}"/>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14" name="Rectángulo: esquinas redondeadas 13">
            <a:extLst>
              <a:ext uri="{FF2B5EF4-FFF2-40B4-BE49-F238E27FC236}">
                <a16:creationId xmlns:a16="http://schemas.microsoft.com/office/drawing/2014/main" id="{8A577414-1983-34F9-B9E0-FC1019F235A4}"/>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15" name="Rectángulo: esquinas redondeadas 14">
            <a:extLst>
              <a:ext uri="{FF2B5EF4-FFF2-40B4-BE49-F238E27FC236}">
                <a16:creationId xmlns:a16="http://schemas.microsoft.com/office/drawing/2014/main" id="{ECC2AD5D-DC50-F485-9B80-7A91C338E47B}"/>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16" name="Rectángulo: esquinas redondeadas 15">
            <a:extLst>
              <a:ext uri="{FF2B5EF4-FFF2-40B4-BE49-F238E27FC236}">
                <a16:creationId xmlns:a16="http://schemas.microsoft.com/office/drawing/2014/main" id="{378DAD90-F60D-02FC-B5F8-DE65FA06221B}"/>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17" name="Rectángulo: esquinas redondeadas 16">
            <a:extLst>
              <a:ext uri="{FF2B5EF4-FFF2-40B4-BE49-F238E27FC236}">
                <a16:creationId xmlns:a16="http://schemas.microsoft.com/office/drawing/2014/main" id="{E39E9770-A312-3C61-BC1A-C75E904B8F83}"/>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18" name="Rectángulo: esquinas redondeadas 17">
            <a:extLst>
              <a:ext uri="{FF2B5EF4-FFF2-40B4-BE49-F238E27FC236}">
                <a16:creationId xmlns:a16="http://schemas.microsoft.com/office/drawing/2014/main" id="{188D1CDA-2A87-9BE1-8A2F-F0EDAD1E5E58}"/>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19" name="Rectángulo: esquinas redondeadas 18">
            <a:extLst>
              <a:ext uri="{FF2B5EF4-FFF2-40B4-BE49-F238E27FC236}">
                <a16:creationId xmlns:a16="http://schemas.microsoft.com/office/drawing/2014/main" id="{EF80D79E-3106-061B-D7EA-37331126C0EE}"/>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20" name="Rectángulo: esquinas redondeadas 19">
            <a:extLst>
              <a:ext uri="{FF2B5EF4-FFF2-40B4-BE49-F238E27FC236}">
                <a16:creationId xmlns:a16="http://schemas.microsoft.com/office/drawing/2014/main" id="{61B47740-D84D-E309-8309-A0793A748790}"/>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21" name="Rectángulo: esquinas redondeadas 20">
            <a:extLst>
              <a:ext uri="{FF2B5EF4-FFF2-40B4-BE49-F238E27FC236}">
                <a16:creationId xmlns:a16="http://schemas.microsoft.com/office/drawing/2014/main" id="{25AAA944-DEC8-9662-F687-371F5876AEE6}"/>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22" name="Rectángulo: esquinas redondeadas 21">
            <a:extLst>
              <a:ext uri="{FF2B5EF4-FFF2-40B4-BE49-F238E27FC236}">
                <a16:creationId xmlns:a16="http://schemas.microsoft.com/office/drawing/2014/main" id="{2AC2CA63-F405-A196-D9F1-79E57E07BF27}"/>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23" name="Rectángulo: esquinas redondeadas 22">
            <a:extLst>
              <a:ext uri="{FF2B5EF4-FFF2-40B4-BE49-F238E27FC236}">
                <a16:creationId xmlns:a16="http://schemas.microsoft.com/office/drawing/2014/main" id="{352743C5-22B2-B763-ACC6-E49C04159C92}"/>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24" name="Rectángulo: esquinas redondeadas 23">
            <a:extLst>
              <a:ext uri="{FF2B5EF4-FFF2-40B4-BE49-F238E27FC236}">
                <a16:creationId xmlns:a16="http://schemas.microsoft.com/office/drawing/2014/main" id="{93A9CE15-55C4-2414-894D-401B7A36A625}"/>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25" name="Rectángulo: esquinas redondeadas 24">
            <a:extLst>
              <a:ext uri="{FF2B5EF4-FFF2-40B4-BE49-F238E27FC236}">
                <a16:creationId xmlns:a16="http://schemas.microsoft.com/office/drawing/2014/main" id="{2CCC47F5-19B1-5B56-A920-F3B39E2C3806}"/>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0</xdr:row>
      <xdr:rowOff>38100</xdr:rowOff>
    </xdr:from>
    <xdr:to>
      <xdr:col>11</xdr:col>
      <xdr:colOff>180974</xdr:colOff>
      <xdr:row>3</xdr:row>
      <xdr:rowOff>9525</xdr:rowOff>
    </xdr:to>
    <xdr:grpSp>
      <xdr:nvGrpSpPr>
        <xdr:cNvPr id="12" name="Grupo 11">
          <a:extLst>
            <a:ext uri="{FF2B5EF4-FFF2-40B4-BE49-F238E27FC236}">
              <a16:creationId xmlns:a16="http://schemas.microsoft.com/office/drawing/2014/main" id="{C85B4E34-E60D-4268-A465-3F4D68CF0877}"/>
            </a:ext>
          </a:extLst>
        </xdr:cNvPr>
        <xdr:cNvGrpSpPr/>
      </xdr:nvGrpSpPr>
      <xdr:grpSpPr>
        <a:xfrm>
          <a:off x="19050" y="38100"/>
          <a:ext cx="16278224" cy="523875"/>
          <a:chOff x="95250" y="228601"/>
          <a:chExt cx="15830549" cy="485774"/>
        </a:xfrm>
      </xdr:grpSpPr>
      <xdr:sp macro="[0]!Mercado" textlink="">
        <xdr:nvSpPr>
          <xdr:cNvPr id="13" name="Rectángulo: esquinas redondeadas 12">
            <a:extLst>
              <a:ext uri="{FF2B5EF4-FFF2-40B4-BE49-F238E27FC236}">
                <a16:creationId xmlns:a16="http://schemas.microsoft.com/office/drawing/2014/main" id="{721A320F-FE3C-2946-BEDF-A540971F403C}"/>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14" name="Rectángulo: esquinas redondeadas 13">
            <a:extLst>
              <a:ext uri="{FF2B5EF4-FFF2-40B4-BE49-F238E27FC236}">
                <a16:creationId xmlns:a16="http://schemas.microsoft.com/office/drawing/2014/main" id="{A8FFF8FA-0986-6F47-6FBD-31F18A7BB693}"/>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15" name="Rectángulo: esquinas redondeadas 14">
            <a:extLst>
              <a:ext uri="{FF2B5EF4-FFF2-40B4-BE49-F238E27FC236}">
                <a16:creationId xmlns:a16="http://schemas.microsoft.com/office/drawing/2014/main" id="{70878837-C84F-BA41-BA62-3DDDCF4F3F3F}"/>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16" name="Rectángulo: esquinas redondeadas 15">
            <a:extLst>
              <a:ext uri="{FF2B5EF4-FFF2-40B4-BE49-F238E27FC236}">
                <a16:creationId xmlns:a16="http://schemas.microsoft.com/office/drawing/2014/main" id="{8393AD95-DD43-8B78-D752-D5EC73FCF9C5}"/>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17" name="Rectángulo: esquinas redondeadas 16">
            <a:extLst>
              <a:ext uri="{FF2B5EF4-FFF2-40B4-BE49-F238E27FC236}">
                <a16:creationId xmlns:a16="http://schemas.microsoft.com/office/drawing/2014/main" id="{708F3D86-B272-BF5D-6403-67012CA6268A}"/>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18" name="Rectángulo: esquinas redondeadas 17">
            <a:extLst>
              <a:ext uri="{FF2B5EF4-FFF2-40B4-BE49-F238E27FC236}">
                <a16:creationId xmlns:a16="http://schemas.microsoft.com/office/drawing/2014/main" id="{3164F065-01BE-8772-4C61-98711B85BE2C}"/>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19" name="Rectángulo: esquinas redondeadas 18">
            <a:extLst>
              <a:ext uri="{FF2B5EF4-FFF2-40B4-BE49-F238E27FC236}">
                <a16:creationId xmlns:a16="http://schemas.microsoft.com/office/drawing/2014/main" id="{C1F52FB0-2BEA-F26A-8087-D9C51A074791}"/>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20" name="Rectángulo: esquinas redondeadas 19">
            <a:extLst>
              <a:ext uri="{FF2B5EF4-FFF2-40B4-BE49-F238E27FC236}">
                <a16:creationId xmlns:a16="http://schemas.microsoft.com/office/drawing/2014/main" id="{42191FBD-BEE5-BA82-D997-71A59B2C2D94}"/>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21" name="Rectángulo: esquinas redondeadas 20">
            <a:extLst>
              <a:ext uri="{FF2B5EF4-FFF2-40B4-BE49-F238E27FC236}">
                <a16:creationId xmlns:a16="http://schemas.microsoft.com/office/drawing/2014/main" id="{A99BD8E3-46F8-96C0-4445-2397E3BF0246}"/>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22" name="Rectángulo: esquinas redondeadas 21">
            <a:extLst>
              <a:ext uri="{FF2B5EF4-FFF2-40B4-BE49-F238E27FC236}">
                <a16:creationId xmlns:a16="http://schemas.microsoft.com/office/drawing/2014/main" id="{9ED1A264-1E5D-B0A3-B212-E298CE800963}"/>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23" name="Rectángulo: esquinas redondeadas 22">
            <a:extLst>
              <a:ext uri="{FF2B5EF4-FFF2-40B4-BE49-F238E27FC236}">
                <a16:creationId xmlns:a16="http://schemas.microsoft.com/office/drawing/2014/main" id="{7B94D333-379C-5FBB-6ACD-C7511E34664A}"/>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24" name="Rectángulo: esquinas redondeadas 23">
            <a:extLst>
              <a:ext uri="{FF2B5EF4-FFF2-40B4-BE49-F238E27FC236}">
                <a16:creationId xmlns:a16="http://schemas.microsoft.com/office/drawing/2014/main" id="{C7558B00-256E-0D43-9E05-9D93E5E6E616}"/>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25" name="Rectángulo: esquinas redondeadas 24">
            <a:extLst>
              <a:ext uri="{FF2B5EF4-FFF2-40B4-BE49-F238E27FC236}">
                <a16:creationId xmlns:a16="http://schemas.microsoft.com/office/drawing/2014/main" id="{F2FB4D58-280F-4E59-F8E5-1DE79DF42C25}"/>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29</xdr:col>
      <xdr:colOff>790574</xdr:colOff>
      <xdr:row>2</xdr:row>
      <xdr:rowOff>114300</xdr:rowOff>
    </xdr:to>
    <xdr:grpSp>
      <xdr:nvGrpSpPr>
        <xdr:cNvPr id="36" name="Grupo 35">
          <a:extLst>
            <a:ext uri="{FF2B5EF4-FFF2-40B4-BE49-F238E27FC236}">
              <a16:creationId xmlns:a16="http://schemas.microsoft.com/office/drawing/2014/main" id="{DF7E239D-628A-45CD-97DB-9D130F7886DC}"/>
            </a:ext>
          </a:extLst>
        </xdr:cNvPr>
        <xdr:cNvGrpSpPr/>
      </xdr:nvGrpSpPr>
      <xdr:grpSpPr>
        <a:xfrm>
          <a:off x="28575" y="47625"/>
          <a:ext cx="17437099" cy="536575"/>
          <a:chOff x="95250" y="228601"/>
          <a:chExt cx="15830549" cy="485774"/>
        </a:xfrm>
      </xdr:grpSpPr>
      <xdr:sp macro="[0]!Mercado" textlink="">
        <xdr:nvSpPr>
          <xdr:cNvPr id="37" name="Rectángulo: esquinas redondeadas 36">
            <a:extLst>
              <a:ext uri="{FF2B5EF4-FFF2-40B4-BE49-F238E27FC236}">
                <a16:creationId xmlns:a16="http://schemas.microsoft.com/office/drawing/2014/main" id="{D5323FDF-42EB-BE21-0539-F614C603643C}"/>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38" name="Rectángulo: esquinas redondeadas 37">
            <a:extLst>
              <a:ext uri="{FF2B5EF4-FFF2-40B4-BE49-F238E27FC236}">
                <a16:creationId xmlns:a16="http://schemas.microsoft.com/office/drawing/2014/main" id="{70D57915-907B-90B5-C2F6-4E79505A4798}"/>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39" name="Rectángulo: esquinas redondeadas 38">
            <a:extLst>
              <a:ext uri="{FF2B5EF4-FFF2-40B4-BE49-F238E27FC236}">
                <a16:creationId xmlns:a16="http://schemas.microsoft.com/office/drawing/2014/main" id="{464D9445-FF9F-5E2F-0151-330B3ACB449B}"/>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40" name="Rectángulo: esquinas redondeadas 39">
            <a:extLst>
              <a:ext uri="{FF2B5EF4-FFF2-40B4-BE49-F238E27FC236}">
                <a16:creationId xmlns:a16="http://schemas.microsoft.com/office/drawing/2014/main" id="{2D618649-E73B-1047-A58D-24FA35260581}"/>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41" name="Rectángulo: esquinas redondeadas 40">
            <a:extLst>
              <a:ext uri="{FF2B5EF4-FFF2-40B4-BE49-F238E27FC236}">
                <a16:creationId xmlns:a16="http://schemas.microsoft.com/office/drawing/2014/main" id="{A72EB573-FF4A-EBE9-3096-1CF197E5DEBB}"/>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42" name="Rectángulo: esquinas redondeadas 41">
            <a:extLst>
              <a:ext uri="{FF2B5EF4-FFF2-40B4-BE49-F238E27FC236}">
                <a16:creationId xmlns:a16="http://schemas.microsoft.com/office/drawing/2014/main" id="{D431F38B-F836-D146-DED1-87B2E36FA3AE}"/>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43" name="Rectángulo: esquinas redondeadas 42">
            <a:extLst>
              <a:ext uri="{FF2B5EF4-FFF2-40B4-BE49-F238E27FC236}">
                <a16:creationId xmlns:a16="http://schemas.microsoft.com/office/drawing/2014/main" id="{E0D1F8E8-7846-415E-15CC-1C8E04261AB0}"/>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44" name="Rectángulo: esquinas redondeadas 43">
            <a:extLst>
              <a:ext uri="{FF2B5EF4-FFF2-40B4-BE49-F238E27FC236}">
                <a16:creationId xmlns:a16="http://schemas.microsoft.com/office/drawing/2014/main" id="{4E733A7B-469A-8405-227E-71674EB5E30D}"/>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45" name="Rectángulo: esquinas redondeadas 44">
            <a:extLst>
              <a:ext uri="{FF2B5EF4-FFF2-40B4-BE49-F238E27FC236}">
                <a16:creationId xmlns:a16="http://schemas.microsoft.com/office/drawing/2014/main" id="{D59D24CB-2052-A25A-15FB-AB3DA7E4B802}"/>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46" name="Rectángulo: esquinas redondeadas 45">
            <a:extLst>
              <a:ext uri="{FF2B5EF4-FFF2-40B4-BE49-F238E27FC236}">
                <a16:creationId xmlns:a16="http://schemas.microsoft.com/office/drawing/2014/main" id="{70CFEEA0-AD34-4444-72E0-0F17DE2917E8}"/>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47" name="Rectángulo: esquinas redondeadas 46">
            <a:extLst>
              <a:ext uri="{FF2B5EF4-FFF2-40B4-BE49-F238E27FC236}">
                <a16:creationId xmlns:a16="http://schemas.microsoft.com/office/drawing/2014/main" id="{95345027-3036-77AA-F3B3-91E842FC45A3}"/>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48" name="Rectángulo: esquinas redondeadas 47">
            <a:extLst>
              <a:ext uri="{FF2B5EF4-FFF2-40B4-BE49-F238E27FC236}">
                <a16:creationId xmlns:a16="http://schemas.microsoft.com/office/drawing/2014/main" id="{78EF23F1-0ABD-B7C6-C73A-1B4C85DF2C9C}"/>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49" name="Rectángulo: esquinas redondeadas 48">
            <a:extLst>
              <a:ext uri="{FF2B5EF4-FFF2-40B4-BE49-F238E27FC236}">
                <a16:creationId xmlns:a16="http://schemas.microsoft.com/office/drawing/2014/main" id="{5982EF79-4CFD-1E2A-BC55-DD6F509F546C}"/>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171451</xdr:colOff>
      <xdr:row>10</xdr:row>
      <xdr:rowOff>0</xdr:rowOff>
    </xdr:from>
    <xdr:to>
      <xdr:col>6</xdr:col>
      <xdr:colOff>409575</xdr:colOff>
      <xdr:row>22</xdr:row>
      <xdr:rowOff>76200</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704850</xdr:colOff>
      <xdr:row>4</xdr:row>
      <xdr:rowOff>9526</xdr:rowOff>
    </xdr:from>
    <xdr:to>
      <xdr:col>14</xdr:col>
      <xdr:colOff>628650</xdr:colOff>
      <xdr:row>9</xdr:row>
      <xdr:rowOff>114300</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28575</xdr:colOff>
      <xdr:row>0</xdr:row>
      <xdr:rowOff>47625</xdr:rowOff>
    </xdr:from>
    <xdr:to>
      <xdr:col>19</xdr:col>
      <xdr:colOff>533399</xdr:colOff>
      <xdr:row>3</xdr:row>
      <xdr:rowOff>19050</xdr:rowOff>
    </xdr:to>
    <xdr:grpSp>
      <xdr:nvGrpSpPr>
        <xdr:cNvPr id="42" name="Grupo 41">
          <a:extLst>
            <a:ext uri="{FF2B5EF4-FFF2-40B4-BE49-F238E27FC236}">
              <a16:creationId xmlns:a16="http://schemas.microsoft.com/office/drawing/2014/main" id="{3CB455DC-88C8-4878-8305-4287A3EF164C}"/>
            </a:ext>
          </a:extLst>
        </xdr:cNvPr>
        <xdr:cNvGrpSpPr/>
      </xdr:nvGrpSpPr>
      <xdr:grpSpPr>
        <a:xfrm>
          <a:off x="28575" y="47625"/>
          <a:ext cx="15977657" cy="521758"/>
          <a:chOff x="95250" y="228601"/>
          <a:chExt cx="15830549" cy="485774"/>
        </a:xfrm>
      </xdr:grpSpPr>
      <xdr:sp macro="[0]!Mercado" textlink="">
        <xdr:nvSpPr>
          <xdr:cNvPr id="43" name="Rectángulo: esquinas redondeadas 42">
            <a:extLst>
              <a:ext uri="{FF2B5EF4-FFF2-40B4-BE49-F238E27FC236}">
                <a16:creationId xmlns:a16="http://schemas.microsoft.com/office/drawing/2014/main" id="{6AC63990-C3C2-CE55-BB4B-75817A09D1FF}"/>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44" name="Rectángulo: esquinas redondeadas 43">
            <a:extLst>
              <a:ext uri="{FF2B5EF4-FFF2-40B4-BE49-F238E27FC236}">
                <a16:creationId xmlns:a16="http://schemas.microsoft.com/office/drawing/2014/main" id="{861B962E-A1C3-2515-E6BE-7754CF9F06AA}"/>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45" name="Rectángulo: esquinas redondeadas 44">
            <a:extLst>
              <a:ext uri="{FF2B5EF4-FFF2-40B4-BE49-F238E27FC236}">
                <a16:creationId xmlns:a16="http://schemas.microsoft.com/office/drawing/2014/main" id="{72EF39E9-F282-59F6-A0E4-8B6F3724D36D}"/>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46" name="Rectángulo: esquinas redondeadas 45">
            <a:extLst>
              <a:ext uri="{FF2B5EF4-FFF2-40B4-BE49-F238E27FC236}">
                <a16:creationId xmlns:a16="http://schemas.microsoft.com/office/drawing/2014/main" id="{7686BC83-8865-05B9-656D-A8E8132F6C29}"/>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47" name="Rectángulo: esquinas redondeadas 46">
            <a:extLst>
              <a:ext uri="{FF2B5EF4-FFF2-40B4-BE49-F238E27FC236}">
                <a16:creationId xmlns:a16="http://schemas.microsoft.com/office/drawing/2014/main" id="{6D3605DA-CF6E-8FA1-3731-B91DCB79CEBA}"/>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48" name="Rectángulo: esquinas redondeadas 47">
            <a:extLst>
              <a:ext uri="{FF2B5EF4-FFF2-40B4-BE49-F238E27FC236}">
                <a16:creationId xmlns:a16="http://schemas.microsoft.com/office/drawing/2014/main" id="{EFC895B5-5FBF-72EC-6C52-FA51E6C6A271}"/>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49" name="Rectángulo: esquinas redondeadas 48">
            <a:extLst>
              <a:ext uri="{FF2B5EF4-FFF2-40B4-BE49-F238E27FC236}">
                <a16:creationId xmlns:a16="http://schemas.microsoft.com/office/drawing/2014/main" id="{5C57E6FF-F4E9-A387-BD06-E02D93552F94}"/>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50" name="Rectángulo: esquinas redondeadas 49">
            <a:extLst>
              <a:ext uri="{FF2B5EF4-FFF2-40B4-BE49-F238E27FC236}">
                <a16:creationId xmlns:a16="http://schemas.microsoft.com/office/drawing/2014/main" id="{BFA4659F-35C6-894B-2F1A-43EA4DC18F65}"/>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51" name="Rectángulo: esquinas redondeadas 50">
            <a:extLst>
              <a:ext uri="{FF2B5EF4-FFF2-40B4-BE49-F238E27FC236}">
                <a16:creationId xmlns:a16="http://schemas.microsoft.com/office/drawing/2014/main" id="{1C3FEC47-9648-B87D-7E0E-279F806D8141}"/>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52" name="Rectángulo: esquinas redondeadas 51">
            <a:extLst>
              <a:ext uri="{FF2B5EF4-FFF2-40B4-BE49-F238E27FC236}">
                <a16:creationId xmlns:a16="http://schemas.microsoft.com/office/drawing/2014/main" id="{ED2C543A-C1A8-3C41-0F55-888B5BFC43A4}"/>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53" name="Rectángulo: esquinas redondeadas 52">
            <a:extLst>
              <a:ext uri="{FF2B5EF4-FFF2-40B4-BE49-F238E27FC236}">
                <a16:creationId xmlns:a16="http://schemas.microsoft.com/office/drawing/2014/main" id="{520B6E76-836C-F125-B6E6-1A704C8496A9}"/>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54" name="Rectángulo: esquinas redondeadas 53">
            <a:extLst>
              <a:ext uri="{FF2B5EF4-FFF2-40B4-BE49-F238E27FC236}">
                <a16:creationId xmlns:a16="http://schemas.microsoft.com/office/drawing/2014/main" id="{A06FAB5C-A003-53A4-DFED-EBF0ECF84EFC}"/>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55" name="Rectángulo: esquinas redondeadas 54">
            <a:extLst>
              <a:ext uri="{FF2B5EF4-FFF2-40B4-BE49-F238E27FC236}">
                <a16:creationId xmlns:a16="http://schemas.microsoft.com/office/drawing/2014/main" id="{7B0DBFC9-1D73-6FBA-6F9B-82A2BC8ADE72}"/>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19050</xdr:rowOff>
        </xdr:from>
        <xdr:to>
          <xdr:col>1</xdr:col>
          <xdr:colOff>1231900</xdr:colOff>
          <xdr:row>8</xdr:row>
          <xdr:rowOff>0</xdr:rowOff>
        </xdr:to>
        <xdr:sp macro="" textlink="">
          <xdr:nvSpPr>
            <xdr:cNvPr id="8199" name="ComboBox1" hidden="1">
              <a:extLst>
                <a:ext uri="{63B3BB69-23CF-44E3-9099-C40C66FF867C}">
                  <a14:compatExt spid="_x0000_s8199"/>
                </a:ext>
                <a:ext uri="{FF2B5EF4-FFF2-40B4-BE49-F238E27FC236}">
                  <a16:creationId xmlns:a16="http://schemas.microsoft.com/office/drawing/2014/main" id="{00000000-0008-0000-0B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12</xdr:row>
          <xdr:rowOff>146050</xdr:rowOff>
        </xdr:from>
        <xdr:to>
          <xdr:col>2</xdr:col>
          <xdr:colOff>876300</xdr:colOff>
          <xdr:row>14</xdr:row>
          <xdr:rowOff>57150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B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133350</xdr:rowOff>
        </xdr:from>
        <xdr:to>
          <xdr:col>2</xdr:col>
          <xdr:colOff>857250</xdr:colOff>
          <xdr:row>16</xdr:row>
          <xdr:rowOff>50800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B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22</xdr:row>
          <xdr:rowOff>133350</xdr:rowOff>
        </xdr:from>
        <xdr:to>
          <xdr:col>2</xdr:col>
          <xdr:colOff>838200</xdr:colOff>
          <xdr:row>24</xdr:row>
          <xdr:rowOff>50800</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B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24</xdr:row>
          <xdr:rowOff>152400</xdr:rowOff>
        </xdr:from>
        <xdr:to>
          <xdr:col>2</xdr:col>
          <xdr:colOff>838200</xdr:colOff>
          <xdr:row>26</xdr:row>
          <xdr:rowOff>69850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B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450850</xdr:colOff>
          <xdr:row>26</xdr:row>
          <xdr:rowOff>133350</xdr:rowOff>
        </xdr:from>
        <xdr:to>
          <xdr:col>2</xdr:col>
          <xdr:colOff>831850</xdr:colOff>
          <xdr:row>28</xdr:row>
          <xdr:rowOff>50800</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B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30</xdr:row>
          <xdr:rowOff>133350</xdr:rowOff>
        </xdr:from>
        <xdr:to>
          <xdr:col>2</xdr:col>
          <xdr:colOff>838200</xdr:colOff>
          <xdr:row>32</xdr:row>
          <xdr:rowOff>50800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B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7</xdr:row>
          <xdr:rowOff>133350</xdr:rowOff>
        </xdr:from>
        <xdr:to>
          <xdr:col>2</xdr:col>
          <xdr:colOff>889000</xdr:colOff>
          <xdr:row>9</xdr:row>
          <xdr:rowOff>50800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B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8</xdr:row>
          <xdr:rowOff>127000</xdr:rowOff>
        </xdr:from>
        <xdr:to>
          <xdr:col>2</xdr:col>
          <xdr:colOff>889000</xdr:colOff>
          <xdr:row>10</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B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9</xdr:row>
          <xdr:rowOff>127000</xdr:rowOff>
        </xdr:from>
        <xdr:to>
          <xdr:col>2</xdr:col>
          <xdr:colOff>889000</xdr:colOff>
          <xdr:row>11</xdr:row>
          <xdr:rowOff>38100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B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10</xdr:row>
          <xdr:rowOff>133350</xdr:rowOff>
        </xdr:from>
        <xdr:to>
          <xdr:col>2</xdr:col>
          <xdr:colOff>889000</xdr:colOff>
          <xdr:row>12</xdr:row>
          <xdr:rowOff>50800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B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11</xdr:row>
          <xdr:rowOff>146050</xdr:rowOff>
        </xdr:from>
        <xdr:to>
          <xdr:col>2</xdr:col>
          <xdr:colOff>876300</xdr:colOff>
          <xdr:row>13</xdr:row>
          <xdr:rowOff>57150</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B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18</xdr:row>
          <xdr:rowOff>127000</xdr:rowOff>
        </xdr:from>
        <xdr:to>
          <xdr:col>2</xdr:col>
          <xdr:colOff>857250</xdr:colOff>
          <xdr:row>20</xdr:row>
          <xdr:rowOff>38100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B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527050</xdr:colOff>
          <xdr:row>19</xdr:row>
          <xdr:rowOff>146050</xdr:rowOff>
        </xdr:from>
        <xdr:to>
          <xdr:col>7</xdr:col>
          <xdr:colOff>908050</xdr:colOff>
          <xdr:row>21</xdr:row>
          <xdr:rowOff>57150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B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38100</xdr:colOff>
      <xdr:row>0</xdr:row>
      <xdr:rowOff>47625</xdr:rowOff>
    </xdr:from>
    <xdr:to>
      <xdr:col>13</xdr:col>
      <xdr:colOff>409574</xdr:colOff>
      <xdr:row>3</xdr:row>
      <xdr:rowOff>9525</xdr:rowOff>
    </xdr:to>
    <xdr:grpSp>
      <xdr:nvGrpSpPr>
        <xdr:cNvPr id="26" name="Grupo 25">
          <a:extLst>
            <a:ext uri="{FF2B5EF4-FFF2-40B4-BE49-F238E27FC236}">
              <a16:creationId xmlns:a16="http://schemas.microsoft.com/office/drawing/2014/main" id="{5ED7429E-287E-4236-8D74-E61C372646EE}"/>
            </a:ext>
          </a:extLst>
        </xdr:cNvPr>
        <xdr:cNvGrpSpPr/>
      </xdr:nvGrpSpPr>
      <xdr:grpSpPr>
        <a:xfrm>
          <a:off x="38100" y="47625"/>
          <a:ext cx="16610156" cy="521855"/>
          <a:chOff x="95250" y="228601"/>
          <a:chExt cx="15830549" cy="485774"/>
        </a:xfrm>
      </xdr:grpSpPr>
      <xdr:sp macro="[0]!Mercado" textlink="">
        <xdr:nvSpPr>
          <xdr:cNvPr id="27" name="Rectángulo: esquinas redondeadas 26">
            <a:extLst>
              <a:ext uri="{FF2B5EF4-FFF2-40B4-BE49-F238E27FC236}">
                <a16:creationId xmlns:a16="http://schemas.microsoft.com/office/drawing/2014/main" id="{C85DAEAE-28CD-C6E8-CD67-9FFA7AD56EA5}"/>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8" name="Rectángulo: esquinas redondeadas 27">
            <a:extLst>
              <a:ext uri="{FF2B5EF4-FFF2-40B4-BE49-F238E27FC236}">
                <a16:creationId xmlns:a16="http://schemas.microsoft.com/office/drawing/2014/main" id="{34446A03-4013-E4B5-7ABD-C77F57158EEA}"/>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9" name="Rectángulo: esquinas redondeadas 28">
            <a:extLst>
              <a:ext uri="{FF2B5EF4-FFF2-40B4-BE49-F238E27FC236}">
                <a16:creationId xmlns:a16="http://schemas.microsoft.com/office/drawing/2014/main" id="{E526D996-7570-53C6-A27D-4A7CAE32B122}"/>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30" name="Rectángulo: esquinas redondeadas 29">
            <a:extLst>
              <a:ext uri="{FF2B5EF4-FFF2-40B4-BE49-F238E27FC236}">
                <a16:creationId xmlns:a16="http://schemas.microsoft.com/office/drawing/2014/main" id="{0B336BEC-AD6F-20A2-8708-50AAD8717766}"/>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31" name="Rectángulo: esquinas redondeadas 30">
            <a:extLst>
              <a:ext uri="{FF2B5EF4-FFF2-40B4-BE49-F238E27FC236}">
                <a16:creationId xmlns:a16="http://schemas.microsoft.com/office/drawing/2014/main" id="{2D771263-F927-3391-BCA8-59667799AD4A}"/>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32" name="Rectángulo: esquinas redondeadas 31">
            <a:extLst>
              <a:ext uri="{FF2B5EF4-FFF2-40B4-BE49-F238E27FC236}">
                <a16:creationId xmlns:a16="http://schemas.microsoft.com/office/drawing/2014/main" id="{E93A76B6-F9A7-7F6C-6B1E-E52AB50C3C63}"/>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33" name="Rectángulo: esquinas redondeadas 32">
            <a:extLst>
              <a:ext uri="{FF2B5EF4-FFF2-40B4-BE49-F238E27FC236}">
                <a16:creationId xmlns:a16="http://schemas.microsoft.com/office/drawing/2014/main" id="{9A8CD0FE-266D-7A3E-8E35-B45D430F9358}"/>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34" name="Rectángulo: esquinas redondeadas 33">
            <a:extLst>
              <a:ext uri="{FF2B5EF4-FFF2-40B4-BE49-F238E27FC236}">
                <a16:creationId xmlns:a16="http://schemas.microsoft.com/office/drawing/2014/main" id="{EE5D037E-0E25-7C11-1C6E-A158627FBF33}"/>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35" name="Rectángulo: esquinas redondeadas 34">
            <a:extLst>
              <a:ext uri="{FF2B5EF4-FFF2-40B4-BE49-F238E27FC236}">
                <a16:creationId xmlns:a16="http://schemas.microsoft.com/office/drawing/2014/main" id="{F84C30B2-FB7D-25D7-C47D-8CE4091CA3D7}"/>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6" name="Rectángulo: esquinas redondeadas 35">
            <a:extLst>
              <a:ext uri="{FF2B5EF4-FFF2-40B4-BE49-F238E27FC236}">
                <a16:creationId xmlns:a16="http://schemas.microsoft.com/office/drawing/2014/main" id="{2E7CBEE6-BCB8-1D79-E34A-D5EC6DF98CD8}"/>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7" name="Rectángulo: esquinas redondeadas 36">
            <a:extLst>
              <a:ext uri="{FF2B5EF4-FFF2-40B4-BE49-F238E27FC236}">
                <a16:creationId xmlns:a16="http://schemas.microsoft.com/office/drawing/2014/main" id="{7BC0DC98-AF86-D76E-E147-0D32ABBEFFC0}"/>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8" name="Rectángulo: esquinas redondeadas 37">
            <a:extLst>
              <a:ext uri="{FF2B5EF4-FFF2-40B4-BE49-F238E27FC236}">
                <a16:creationId xmlns:a16="http://schemas.microsoft.com/office/drawing/2014/main" id="{145483F7-DD14-CA3F-15C3-C68E13D96FD9}"/>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9" name="Rectángulo: esquinas redondeadas 38">
            <a:extLst>
              <a:ext uri="{FF2B5EF4-FFF2-40B4-BE49-F238E27FC236}">
                <a16:creationId xmlns:a16="http://schemas.microsoft.com/office/drawing/2014/main" id="{4B313367-9898-9EC6-C637-B529597DC9B6}"/>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266700</xdr:colOff>
      <xdr:row>6</xdr:row>
      <xdr:rowOff>66676</xdr:rowOff>
    </xdr:from>
    <xdr:to>
      <xdr:col>10</xdr:col>
      <xdr:colOff>257175</xdr:colOff>
      <xdr:row>29</xdr:row>
      <xdr:rowOff>152400</xdr:rowOff>
    </xdr:to>
    <xdr:graphicFrame macro="">
      <xdr:nvGraphicFramePr>
        <xdr:cNvPr id="13" name="Diagrama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xdr:col>
      <xdr:colOff>161924</xdr:colOff>
      <xdr:row>33</xdr:row>
      <xdr:rowOff>38100</xdr:rowOff>
    </xdr:from>
    <xdr:to>
      <xdr:col>4</xdr:col>
      <xdr:colOff>609599</xdr:colOff>
      <xdr:row>35</xdr:row>
      <xdr:rowOff>142875</xdr:rowOff>
    </xdr:to>
    <xdr:sp macro="" textlink="">
      <xdr:nvSpPr>
        <xdr:cNvPr id="14" name="Rectángulo: esquinas redondeadas 13">
          <a:extLst>
            <a:ext uri="{FF2B5EF4-FFF2-40B4-BE49-F238E27FC236}">
              <a16:creationId xmlns:a16="http://schemas.microsoft.com/office/drawing/2014/main" id="{00000000-0008-0000-0B00-00000E000000}"/>
            </a:ext>
          </a:extLst>
        </xdr:cNvPr>
        <xdr:cNvSpPr/>
      </xdr:nvSpPr>
      <xdr:spPr>
        <a:xfrm>
          <a:off x="2562224" y="6153150"/>
          <a:ext cx="4476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t>1</a:t>
          </a:r>
        </a:p>
      </xdr:txBody>
    </xdr:sp>
    <xdr:clientData/>
  </xdr:twoCellAnchor>
  <xdr:twoCellAnchor>
    <xdr:from>
      <xdr:col>4</xdr:col>
      <xdr:colOff>171451</xdr:colOff>
      <xdr:row>36</xdr:row>
      <xdr:rowOff>104775</xdr:rowOff>
    </xdr:from>
    <xdr:to>
      <xdr:col>4</xdr:col>
      <xdr:colOff>619125</xdr:colOff>
      <xdr:row>39</xdr:row>
      <xdr:rowOff>19050</xdr:rowOff>
    </xdr:to>
    <xdr:sp macro="" textlink="">
      <xdr:nvSpPr>
        <xdr:cNvPr id="16" name="Rectángulo: esquinas redondeadas 15">
          <a:extLst>
            <a:ext uri="{FF2B5EF4-FFF2-40B4-BE49-F238E27FC236}">
              <a16:creationId xmlns:a16="http://schemas.microsoft.com/office/drawing/2014/main" id="{00000000-0008-0000-0B00-000010000000}"/>
            </a:ext>
          </a:extLst>
        </xdr:cNvPr>
        <xdr:cNvSpPr/>
      </xdr:nvSpPr>
      <xdr:spPr>
        <a:xfrm>
          <a:off x="2571751" y="6791325"/>
          <a:ext cx="447674" cy="485775"/>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es-CO" sz="2400"/>
            <a:t>2</a:t>
          </a:r>
        </a:p>
      </xdr:txBody>
    </xdr:sp>
    <xdr:clientData/>
  </xdr:twoCellAnchor>
  <xdr:twoCellAnchor>
    <xdr:from>
      <xdr:col>4</xdr:col>
      <xdr:colOff>161925</xdr:colOff>
      <xdr:row>41</xdr:row>
      <xdr:rowOff>47625</xdr:rowOff>
    </xdr:from>
    <xdr:to>
      <xdr:col>4</xdr:col>
      <xdr:colOff>619124</xdr:colOff>
      <xdr:row>43</xdr:row>
      <xdr:rowOff>152400</xdr:rowOff>
    </xdr:to>
    <xdr:sp macro="" textlink="">
      <xdr:nvSpPr>
        <xdr:cNvPr id="17" name="Rectángulo: esquinas redondeadas 16">
          <a:extLst>
            <a:ext uri="{FF2B5EF4-FFF2-40B4-BE49-F238E27FC236}">
              <a16:creationId xmlns:a16="http://schemas.microsoft.com/office/drawing/2014/main" id="{00000000-0008-0000-0B00-000011000000}"/>
            </a:ext>
          </a:extLst>
        </xdr:cNvPr>
        <xdr:cNvSpPr/>
      </xdr:nvSpPr>
      <xdr:spPr>
        <a:xfrm>
          <a:off x="2562225" y="7686675"/>
          <a:ext cx="457199" cy="48577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s-CO" sz="2400"/>
            <a:t>3</a:t>
          </a:r>
        </a:p>
      </xdr:txBody>
    </xdr:sp>
    <xdr:clientData/>
  </xdr:twoCellAnchor>
  <xdr:twoCellAnchor>
    <xdr:from>
      <xdr:col>7</xdr:col>
      <xdr:colOff>142876</xdr:colOff>
      <xdr:row>34</xdr:row>
      <xdr:rowOff>104776</xdr:rowOff>
    </xdr:from>
    <xdr:to>
      <xdr:col>7</xdr:col>
      <xdr:colOff>619126</xdr:colOff>
      <xdr:row>37</xdr:row>
      <xdr:rowOff>66675</xdr:rowOff>
    </xdr:to>
    <xdr:sp macro="" textlink="">
      <xdr:nvSpPr>
        <xdr:cNvPr id="18" name="Rectángulo: esquinas redondeadas 17">
          <a:extLst>
            <a:ext uri="{FF2B5EF4-FFF2-40B4-BE49-F238E27FC236}">
              <a16:creationId xmlns:a16="http://schemas.microsoft.com/office/drawing/2014/main" id="{00000000-0008-0000-0B00-000012000000}"/>
            </a:ext>
          </a:extLst>
        </xdr:cNvPr>
        <xdr:cNvSpPr/>
      </xdr:nvSpPr>
      <xdr:spPr>
        <a:xfrm>
          <a:off x="6391276" y="6410326"/>
          <a:ext cx="476250" cy="533399"/>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s-CO" sz="2400"/>
            <a:t>4</a:t>
          </a:r>
        </a:p>
      </xdr:txBody>
    </xdr:sp>
    <xdr:clientData/>
  </xdr:twoCellAnchor>
  <xdr:twoCellAnchor>
    <xdr:from>
      <xdr:col>7</xdr:col>
      <xdr:colOff>133351</xdr:colOff>
      <xdr:row>39</xdr:row>
      <xdr:rowOff>123825</xdr:rowOff>
    </xdr:from>
    <xdr:to>
      <xdr:col>7</xdr:col>
      <xdr:colOff>600075</xdr:colOff>
      <xdr:row>42</xdr:row>
      <xdr:rowOff>38100</xdr:rowOff>
    </xdr:to>
    <xdr:sp macro="" textlink="">
      <xdr:nvSpPr>
        <xdr:cNvPr id="20" name="Rectángulo: esquinas redondeadas 19">
          <a:extLst>
            <a:ext uri="{FF2B5EF4-FFF2-40B4-BE49-F238E27FC236}">
              <a16:creationId xmlns:a16="http://schemas.microsoft.com/office/drawing/2014/main" id="{00000000-0008-0000-0B00-000014000000}"/>
            </a:ext>
          </a:extLst>
        </xdr:cNvPr>
        <xdr:cNvSpPr/>
      </xdr:nvSpPr>
      <xdr:spPr>
        <a:xfrm>
          <a:off x="6381751" y="7381875"/>
          <a:ext cx="466724" cy="485775"/>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t>5</a:t>
          </a:r>
        </a:p>
      </xdr:txBody>
    </xdr:sp>
    <xdr:clientData/>
  </xdr:twoCellAnchor>
  <xdr:twoCellAnchor>
    <xdr:from>
      <xdr:col>0</xdr:col>
      <xdr:colOff>28575</xdr:colOff>
      <xdr:row>0</xdr:row>
      <xdr:rowOff>38100</xdr:rowOff>
    </xdr:from>
    <xdr:to>
      <xdr:col>17</xdr:col>
      <xdr:colOff>514349</xdr:colOff>
      <xdr:row>3</xdr:row>
      <xdr:rowOff>0</xdr:rowOff>
    </xdr:to>
    <xdr:grpSp>
      <xdr:nvGrpSpPr>
        <xdr:cNvPr id="19" name="Grupo 18">
          <a:extLst>
            <a:ext uri="{FF2B5EF4-FFF2-40B4-BE49-F238E27FC236}">
              <a16:creationId xmlns:a16="http://schemas.microsoft.com/office/drawing/2014/main" id="{E92B5562-0417-4D98-8082-B7768B877297}"/>
            </a:ext>
          </a:extLst>
        </xdr:cNvPr>
        <xdr:cNvGrpSpPr/>
      </xdr:nvGrpSpPr>
      <xdr:grpSpPr>
        <a:xfrm>
          <a:off x="28575" y="38100"/>
          <a:ext cx="16614774" cy="525463"/>
          <a:chOff x="95250" y="228601"/>
          <a:chExt cx="15830549" cy="485774"/>
        </a:xfrm>
      </xdr:grpSpPr>
      <xdr:sp macro="[0]!Mercado" textlink="">
        <xdr:nvSpPr>
          <xdr:cNvPr id="21" name="Rectángulo: esquinas redondeadas 20">
            <a:extLst>
              <a:ext uri="{FF2B5EF4-FFF2-40B4-BE49-F238E27FC236}">
                <a16:creationId xmlns:a16="http://schemas.microsoft.com/office/drawing/2014/main" id="{BC4EFE07-9531-621D-48E8-E4BD5D6DB93B}"/>
              </a:ext>
            </a:extLst>
          </xdr:cNvPr>
          <xdr:cNvSpPr/>
        </xdr:nvSpPr>
        <xdr:spPr>
          <a:xfrm>
            <a:off x="7115176" y="266701"/>
            <a:ext cx="1495424" cy="4000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de Mercado</a:t>
            </a:r>
          </a:p>
        </xdr:txBody>
      </xdr:sp>
      <xdr:sp macro="[0]!_xludf.Base" textlink="">
        <xdr:nvSpPr>
          <xdr:cNvPr id="22" name="Rectángulo: esquinas redondeadas 21">
            <a:extLst>
              <a:ext uri="{FF2B5EF4-FFF2-40B4-BE49-F238E27FC236}">
                <a16:creationId xmlns:a16="http://schemas.microsoft.com/office/drawing/2014/main" id="{5BEC7C40-1E4A-6F8B-9F01-32B2CCD0DC4D}"/>
              </a:ext>
            </a:extLst>
          </xdr:cNvPr>
          <xdr:cNvSpPr/>
        </xdr:nvSpPr>
        <xdr:spPr>
          <a:xfrm>
            <a:off x="95250" y="228601"/>
            <a:ext cx="581025" cy="361950"/>
          </a:xfrm>
          <a:prstGeom prst="roundRect">
            <a:avLst/>
          </a:prstGeom>
          <a:solidFill>
            <a:srgbClr val="00EC54"/>
          </a:solidFill>
          <a:ln>
            <a:solidFill>
              <a:srgbClr val="00EC54"/>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rgbClr val="253F49"/>
                </a:solidFill>
                <a:latin typeface="+mn-lt"/>
                <a:ea typeface="+mn-ea"/>
                <a:cs typeface="+mn-cs"/>
              </a:rPr>
              <a:t>Base</a:t>
            </a:r>
          </a:p>
        </xdr:txBody>
      </xdr:sp>
      <xdr:sp macro="[0]!Proyeccion_FCL" textlink="">
        <xdr:nvSpPr>
          <xdr:cNvPr id="23" name="Rectángulo: esquinas redondeadas 22">
            <a:extLst>
              <a:ext uri="{FF2B5EF4-FFF2-40B4-BE49-F238E27FC236}">
                <a16:creationId xmlns:a16="http://schemas.microsoft.com/office/drawing/2014/main" id="{D0207429-8105-50AA-64B8-D5F2A0180ABC}"/>
              </a:ext>
            </a:extLst>
          </xdr:cNvPr>
          <xdr:cNvSpPr/>
        </xdr:nvSpPr>
        <xdr:spPr>
          <a:xfrm>
            <a:off x="705623" y="239365"/>
            <a:ext cx="1227951" cy="370236"/>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 FCL</a:t>
            </a:r>
          </a:p>
        </xdr:txBody>
      </xdr:sp>
      <xdr:sp macro="[0]!Proyeccion_PG" textlink="">
        <xdr:nvSpPr>
          <xdr:cNvPr id="24" name="Rectángulo: esquinas redondeadas 23">
            <a:extLst>
              <a:ext uri="{FF2B5EF4-FFF2-40B4-BE49-F238E27FC236}">
                <a16:creationId xmlns:a16="http://schemas.microsoft.com/office/drawing/2014/main" id="{7A7D6D01-C120-E64C-0DBE-B854CBC0ADED}"/>
              </a:ext>
            </a:extLst>
          </xdr:cNvPr>
          <xdr:cNvSpPr/>
        </xdr:nvSpPr>
        <xdr:spPr>
          <a:xfrm>
            <a:off x="3352800" y="257176"/>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P&amp;G</a:t>
            </a:r>
            <a:endParaRPr lang="es-ES" sz="1200" b="1">
              <a:solidFill>
                <a:schemeClr val="lt1"/>
              </a:solidFill>
              <a:latin typeface="+mn-lt"/>
              <a:ea typeface="+mn-ea"/>
              <a:cs typeface="+mn-cs"/>
            </a:endParaRPr>
          </a:p>
        </xdr:txBody>
      </xdr:sp>
      <xdr:sp macro="[0]!Resultados" textlink="">
        <xdr:nvSpPr>
          <xdr:cNvPr id="25" name="Rectángulo: esquinas redondeadas 24">
            <a:extLst>
              <a:ext uri="{FF2B5EF4-FFF2-40B4-BE49-F238E27FC236}">
                <a16:creationId xmlns:a16="http://schemas.microsoft.com/office/drawing/2014/main" id="{BA7F2C2C-7294-0A04-84D0-5FE5EA5FF2DD}"/>
              </a:ext>
            </a:extLst>
          </xdr:cNvPr>
          <xdr:cNvSpPr/>
        </xdr:nvSpPr>
        <xdr:spPr>
          <a:xfrm>
            <a:off x="4753114" y="253053"/>
            <a:ext cx="933312" cy="394647"/>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Resultados</a:t>
            </a:r>
          </a:p>
        </xdr:txBody>
      </xdr:sp>
      <xdr:sp macro="[0]!Ambiental" textlink="">
        <xdr:nvSpPr>
          <xdr:cNvPr id="26" name="Rectángulo: esquinas redondeadas 25">
            <a:extLst>
              <a:ext uri="{FF2B5EF4-FFF2-40B4-BE49-F238E27FC236}">
                <a16:creationId xmlns:a16="http://schemas.microsoft.com/office/drawing/2014/main" id="{3122E633-5CC9-E074-1A68-1F6D2A1607C6}"/>
              </a:ext>
            </a:extLst>
          </xdr:cNvPr>
          <xdr:cNvSpPr/>
        </xdr:nvSpPr>
        <xdr:spPr>
          <a:xfrm>
            <a:off x="8629650" y="266701"/>
            <a:ext cx="1790700" cy="4190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baseline="0">
                <a:solidFill>
                  <a:schemeClr val="lt1"/>
                </a:solidFill>
                <a:latin typeface="+mn-lt"/>
                <a:ea typeface="+mn-ea"/>
                <a:cs typeface="+mn-cs"/>
              </a:rPr>
              <a:t>Estudio Medioambiental</a:t>
            </a:r>
            <a:endParaRPr lang="es-ES" sz="1200" b="1">
              <a:solidFill>
                <a:schemeClr val="lt1"/>
              </a:solidFill>
              <a:latin typeface="+mn-lt"/>
              <a:ea typeface="+mn-ea"/>
              <a:cs typeface="+mn-cs"/>
            </a:endParaRPr>
          </a:p>
        </xdr:txBody>
      </xdr:sp>
      <xdr:sp macro="[0]!_xlnm.Criteria" textlink="">
        <xdr:nvSpPr>
          <xdr:cNvPr id="27" name="Rectángulo: esquinas redondeadas 26">
            <a:extLst>
              <a:ext uri="{FF2B5EF4-FFF2-40B4-BE49-F238E27FC236}">
                <a16:creationId xmlns:a16="http://schemas.microsoft.com/office/drawing/2014/main" id="{464324F6-6C50-8904-9CEC-7666C9E51BF0}"/>
              </a:ext>
            </a:extLst>
          </xdr:cNvPr>
          <xdr:cNvSpPr/>
        </xdr:nvSpPr>
        <xdr:spPr>
          <a:xfrm>
            <a:off x="10439401" y="276226"/>
            <a:ext cx="800100" cy="41910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Criterios </a:t>
            </a:r>
          </a:p>
        </xdr:txBody>
      </xdr:sp>
      <xdr:sp macro="[0]!Matriz" textlink="">
        <xdr:nvSpPr>
          <xdr:cNvPr id="28" name="Rectángulo: esquinas redondeadas 27">
            <a:extLst>
              <a:ext uri="{FF2B5EF4-FFF2-40B4-BE49-F238E27FC236}">
                <a16:creationId xmlns:a16="http://schemas.microsoft.com/office/drawing/2014/main" id="{DEB7543D-0B29-B351-E407-BA4F297AB427}"/>
              </a:ext>
            </a:extLst>
          </xdr:cNvPr>
          <xdr:cNvSpPr/>
        </xdr:nvSpPr>
        <xdr:spPr>
          <a:xfrm>
            <a:off x="11268075" y="276225"/>
            <a:ext cx="1333500"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Impactos</a:t>
            </a:r>
            <a:endParaRPr lang="es-ES" sz="1200" b="1">
              <a:solidFill>
                <a:schemeClr val="lt1"/>
              </a:solidFill>
              <a:latin typeface="+mn-lt"/>
              <a:ea typeface="+mn-ea"/>
              <a:cs typeface="+mn-cs"/>
            </a:endParaRPr>
          </a:p>
        </xdr:txBody>
      </xdr:sp>
      <xdr:sp macro="[0]!Graficas" textlink="">
        <xdr:nvSpPr>
          <xdr:cNvPr id="29" name="Rectángulo: esquinas redondeadas 28">
            <a:extLst>
              <a:ext uri="{FF2B5EF4-FFF2-40B4-BE49-F238E27FC236}">
                <a16:creationId xmlns:a16="http://schemas.microsoft.com/office/drawing/2014/main" id="{A05DE585-9DF8-6478-03C0-3240B1392B73}"/>
              </a:ext>
            </a:extLst>
          </xdr:cNvPr>
          <xdr:cNvSpPr/>
        </xdr:nvSpPr>
        <xdr:spPr>
          <a:xfrm>
            <a:off x="12620626" y="276225"/>
            <a:ext cx="838200"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Gráficas</a:t>
            </a:r>
          </a:p>
        </xdr:txBody>
      </xdr:sp>
      <xdr:sp macro="[0]!ESFA" textlink="">
        <xdr:nvSpPr>
          <xdr:cNvPr id="30" name="Rectángulo: esquinas redondeadas 29">
            <a:extLst>
              <a:ext uri="{FF2B5EF4-FFF2-40B4-BE49-F238E27FC236}">
                <a16:creationId xmlns:a16="http://schemas.microsoft.com/office/drawing/2014/main" id="{D4B6356E-A07E-8155-2319-CDACE946DD59}"/>
              </a:ext>
            </a:extLst>
          </xdr:cNvPr>
          <xdr:cNvSpPr/>
        </xdr:nvSpPr>
        <xdr:spPr>
          <a:xfrm>
            <a:off x="1952625" y="247650"/>
            <a:ext cx="1381125" cy="380999"/>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Proyección</a:t>
            </a:r>
            <a:r>
              <a:rPr lang="es-ES" sz="1200" b="1" baseline="0">
                <a:solidFill>
                  <a:schemeClr val="lt1"/>
                </a:solidFill>
                <a:latin typeface="+mn-lt"/>
                <a:ea typeface="+mn-ea"/>
                <a:cs typeface="+mn-cs"/>
              </a:rPr>
              <a:t> ESFA</a:t>
            </a:r>
            <a:endParaRPr lang="es-ES" sz="1200" b="1">
              <a:solidFill>
                <a:schemeClr val="lt1"/>
              </a:solidFill>
              <a:latin typeface="+mn-lt"/>
              <a:ea typeface="+mn-ea"/>
              <a:cs typeface="+mn-cs"/>
            </a:endParaRPr>
          </a:p>
        </xdr:txBody>
      </xdr:sp>
      <xdr:sp macro="[0]!Matriz_Riesgo" textlink="">
        <xdr:nvSpPr>
          <xdr:cNvPr id="31" name="Rectángulo: esquinas redondeadas 30">
            <a:extLst>
              <a:ext uri="{FF2B5EF4-FFF2-40B4-BE49-F238E27FC236}">
                <a16:creationId xmlns:a16="http://schemas.microsoft.com/office/drawing/2014/main" id="{773BC69D-41AD-ADDB-92F8-295BDE3CB4EA}"/>
              </a:ext>
            </a:extLst>
          </xdr:cNvPr>
          <xdr:cNvSpPr/>
        </xdr:nvSpPr>
        <xdr:spPr>
          <a:xfrm>
            <a:off x="5705613" y="253053"/>
            <a:ext cx="1390512" cy="404172"/>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Matriz</a:t>
            </a:r>
            <a:r>
              <a:rPr lang="es-ES" sz="1200" b="1" baseline="0">
                <a:solidFill>
                  <a:schemeClr val="lt1"/>
                </a:solidFill>
                <a:latin typeface="+mn-lt"/>
                <a:ea typeface="+mn-ea"/>
                <a:cs typeface="+mn-cs"/>
              </a:rPr>
              <a:t> de Riesgo</a:t>
            </a:r>
            <a:endParaRPr lang="es-ES" sz="1200" b="1">
              <a:solidFill>
                <a:schemeClr val="lt1"/>
              </a:solidFill>
              <a:latin typeface="+mn-lt"/>
              <a:ea typeface="+mn-ea"/>
              <a:cs typeface="+mn-cs"/>
            </a:endParaRPr>
          </a:p>
        </xdr:txBody>
      </xdr:sp>
      <xdr:sp macro="[0]!Estudio_Tecnico" textlink="">
        <xdr:nvSpPr>
          <xdr:cNvPr id="32" name="Rectángulo: esquinas redondeadas 31">
            <a:extLst>
              <a:ext uri="{FF2B5EF4-FFF2-40B4-BE49-F238E27FC236}">
                <a16:creationId xmlns:a16="http://schemas.microsoft.com/office/drawing/2014/main" id="{8EB89AA9-AA5D-11A6-CF82-0F39875BAB32}"/>
              </a:ext>
            </a:extLst>
          </xdr:cNvPr>
          <xdr:cNvSpPr/>
        </xdr:nvSpPr>
        <xdr:spPr>
          <a:xfrm>
            <a:off x="13477876" y="276225"/>
            <a:ext cx="1323974" cy="438150"/>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 Técnico</a:t>
            </a:r>
          </a:p>
        </xdr:txBody>
      </xdr:sp>
      <xdr:sp macro="[0]!Estudio_Legal" textlink="">
        <xdr:nvSpPr>
          <xdr:cNvPr id="33" name="Rectángulo: esquinas redondeadas 32">
            <a:extLst>
              <a:ext uri="{FF2B5EF4-FFF2-40B4-BE49-F238E27FC236}">
                <a16:creationId xmlns:a16="http://schemas.microsoft.com/office/drawing/2014/main" id="{74200851-73EA-9764-27C1-D1DB29161196}"/>
              </a:ext>
            </a:extLst>
          </xdr:cNvPr>
          <xdr:cNvSpPr/>
        </xdr:nvSpPr>
        <xdr:spPr>
          <a:xfrm>
            <a:off x="14820900" y="276225"/>
            <a:ext cx="1104899" cy="428625"/>
          </a:xfrm>
          <a:prstGeom prst="roundRect">
            <a:avLst/>
          </a:prstGeom>
          <a:solidFill>
            <a:srgbClr val="253F49"/>
          </a:solidFill>
          <a:ln>
            <a:solidFill>
              <a:srgbClr val="253F49"/>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200" b="1">
                <a:solidFill>
                  <a:schemeClr val="lt1"/>
                </a:solidFill>
                <a:latin typeface="+mn-lt"/>
                <a:ea typeface="+mn-ea"/>
                <a:cs typeface="+mn-cs"/>
              </a:rPr>
              <a:t>Estudio</a:t>
            </a:r>
            <a:r>
              <a:rPr lang="es-ES" sz="1200" b="1" baseline="0">
                <a:solidFill>
                  <a:schemeClr val="lt1"/>
                </a:solidFill>
                <a:latin typeface="+mn-lt"/>
                <a:ea typeface="+mn-ea"/>
                <a:cs typeface="+mn-cs"/>
              </a:rPr>
              <a:t> Legal</a:t>
            </a:r>
            <a:endParaRPr lang="es-ES" sz="1200" b="1">
              <a:solidFill>
                <a:schemeClr val="lt1"/>
              </a:solidFill>
              <a:latin typeface="+mn-lt"/>
              <a:ea typeface="+mn-ea"/>
              <a:cs typeface="+mn-cs"/>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Equipo/Downloads/5aecccbaeee0a.xlsx" TargetMode="External"/><Relationship Id="rId1" Type="http://schemas.openxmlformats.org/officeDocument/2006/relationships/externalLinkPath" Target="/Users/Equipo/Downloads/5aecccbaeee0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GUIA  INTERPRETACION"/>
      <sheetName val="CUADRO 1. Criterios"/>
      <sheetName val=" Identi y Eva oficinas"/>
      <sheetName val="Graficas oficinas"/>
    </sheetNames>
    <sheetDataSet>
      <sheetData sheetId="0"/>
      <sheetData sheetId="1"/>
      <sheetData sheetId="2"/>
      <sheetData sheetId="3">
        <row r="3">
          <cell r="E3" t="str">
            <v>Impactos</v>
          </cell>
        </row>
        <row r="4">
          <cell r="B4" t="str">
            <v>Físico</v>
          </cell>
          <cell r="E4">
            <v>6</v>
          </cell>
        </row>
        <row r="5">
          <cell r="B5" t="str">
            <v>Biótico</v>
          </cell>
          <cell r="E5">
            <v>0</v>
          </cell>
        </row>
        <row r="6">
          <cell r="B6" t="str">
            <v>Socioeconómico y Cultural</v>
          </cell>
          <cell r="E6">
            <v>5</v>
          </cell>
        </row>
      </sheetData>
    </sheetDataSet>
  </externalBook>
</externalLink>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larepublica.co/economia/colombia-acumularia-su-inflacion-mas-baja-este-ano-precios-subirian-moderadamente-en-2021-31070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drawing" Target="../drawings/drawing12.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8.bin"/><Relationship Id="rId16" Type="http://schemas.openxmlformats.org/officeDocument/2006/relationships/ctrlProp" Target="../ctrlProps/ctrlProp10.xml"/><Relationship Id="rId1" Type="http://schemas.openxmlformats.org/officeDocument/2006/relationships/hyperlink" Target="mailto:comercial@xpartaentertainment.com" TargetMode="External"/><Relationship Id="rId6" Type="http://schemas.openxmlformats.org/officeDocument/2006/relationships/image" Target="../media/image1.emf"/><Relationship Id="rId11" Type="http://schemas.openxmlformats.org/officeDocument/2006/relationships/ctrlProp" Target="../ctrlProps/ctrlProp5.xml"/><Relationship Id="rId5" Type="http://schemas.openxmlformats.org/officeDocument/2006/relationships/control" Target="../activeX/activeX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vmlDrawing" Target="../drawings/vmlDrawing3.v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EC54"/>
  </sheetPr>
  <dimension ref="B1:Y118"/>
  <sheetViews>
    <sheetView showGridLines="0" showRowColHeaders="0" zoomScale="80" zoomScaleNormal="80" workbookViewId="0">
      <pane ySplit="1" topLeftCell="A9" activePane="bottomLeft" state="frozen"/>
      <selection pane="bottomLeft" activeCell="E104" sqref="E104"/>
    </sheetView>
  </sheetViews>
  <sheetFormatPr baseColWidth="10" defaultColWidth="11.453125" defaultRowHeight="14.5" x14ac:dyDescent="0.35"/>
  <cols>
    <col min="1" max="1" width="4.26953125" style="36" customWidth="1"/>
    <col min="2" max="2" width="38.54296875" style="36" customWidth="1"/>
    <col min="3" max="3" width="20.54296875" style="36" customWidth="1"/>
    <col min="4" max="5" width="18.54296875" style="36" customWidth="1"/>
    <col min="6" max="6" width="18.81640625" style="36" customWidth="1"/>
    <col min="7" max="7" width="11.26953125" style="36" customWidth="1"/>
    <col min="8" max="8" width="31.54296875" style="36" customWidth="1"/>
    <col min="9" max="9" width="20.26953125" style="36" customWidth="1"/>
    <col min="10" max="16384" width="11.453125" style="36"/>
  </cols>
  <sheetData>
    <row r="1" spans="2:25" customFormat="1" ht="58.5" customHeight="1" x14ac:dyDescent="0.35"/>
    <row r="2" spans="2:25" customFormat="1" x14ac:dyDescent="0.35"/>
    <row r="3" spans="2:25" s="53" customFormat="1" ht="48.75" customHeight="1" x14ac:dyDescent="0.35">
      <c r="C3" s="319"/>
      <c r="D3" s="319"/>
      <c r="E3" s="319"/>
      <c r="F3" s="319"/>
      <c r="G3" s="319"/>
    </row>
    <row r="4" spans="2:25" ht="17.25" customHeight="1" x14ac:dyDescent="0.35"/>
    <row r="5" spans="2:25" customFormat="1" x14ac:dyDescent="0.35"/>
    <row r="6" spans="2:25" customFormat="1" x14ac:dyDescent="0.35">
      <c r="C6" s="58" t="s">
        <v>18</v>
      </c>
      <c r="D6" s="325"/>
      <c r="E6" s="326"/>
      <c r="F6" s="326"/>
      <c r="G6" s="327"/>
    </row>
    <row r="7" spans="2:25" customFormat="1" x14ac:dyDescent="0.35"/>
    <row r="8" spans="2:25" s="8" customFormat="1" ht="15" thickBot="1" x14ac:dyDescent="0.4">
      <c r="B8" s="76" t="s">
        <v>72</v>
      </c>
    </row>
    <row r="9" spans="2:25" s="8" customFormat="1" ht="15" thickTop="1" x14ac:dyDescent="0.35">
      <c r="B9" s="41"/>
    </row>
    <row r="10" spans="2:25" customFormat="1" ht="31.5" customHeight="1" x14ac:dyDescent="0.35">
      <c r="B10" s="57" t="s">
        <v>69</v>
      </c>
      <c r="C10" s="57" t="s">
        <v>11</v>
      </c>
      <c r="D10" s="57" t="s">
        <v>68</v>
      </c>
      <c r="E10" s="18"/>
      <c r="F10" s="55" t="s">
        <v>27</v>
      </c>
      <c r="G10" s="55" t="s">
        <v>27</v>
      </c>
      <c r="H10" s="56" t="s">
        <v>28</v>
      </c>
      <c r="I10" s="56" t="s">
        <v>70</v>
      </c>
    </row>
    <row r="11" spans="2:25" customFormat="1" ht="12.75" customHeight="1" x14ac:dyDescent="0.35">
      <c r="B11" s="63" t="s">
        <v>106</v>
      </c>
      <c r="C11" s="64">
        <v>20</v>
      </c>
      <c r="D11" s="65">
        <v>482893</v>
      </c>
      <c r="E11" s="25"/>
      <c r="F11" s="19">
        <v>0</v>
      </c>
      <c r="G11" s="72">
        <v>2022</v>
      </c>
      <c r="H11" s="20">
        <v>1.4500000000000001E-2</v>
      </c>
      <c r="I11" s="69">
        <v>0.1</v>
      </c>
    </row>
    <row r="12" spans="2:25" customFormat="1" ht="12.75" customHeight="1" x14ac:dyDescent="0.35">
      <c r="B12" s="66" t="s">
        <v>104</v>
      </c>
      <c r="C12" s="67">
        <v>20</v>
      </c>
      <c r="D12" s="68">
        <v>482893</v>
      </c>
      <c r="E12" s="25"/>
      <c r="F12" s="19">
        <v>1</v>
      </c>
      <c r="G12" s="19">
        <f>G11+1</f>
        <v>2023</v>
      </c>
      <c r="H12" s="20">
        <v>3.5999999999999997E-2</v>
      </c>
      <c r="I12" s="70">
        <v>0.1</v>
      </c>
      <c r="K12" s="34" t="s">
        <v>75</v>
      </c>
      <c r="L12" s="34"/>
      <c r="M12" s="34"/>
      <c r="N12" s="34"/>
      <c r="O12" s="34"/>
      <c r="P12" s="34"/>
      <c r="Q12" s="34"/>
      <c r="R12" s="34"/>
      <c r="S12" s="34"/>
      <c r="T12" s="34"/>
      <c r="U12" s="34"/>
      <c r="V12" s="34"/>
      <c r="W12" s="34"/>
      <c r="X12" s="34"/>
      <c r="Y12" s="34"/>
    </row>
    <row r="13" spans="2:25" customFormat="1" x14ac:dyDescent="0.35">
      <c r="B13" s="66" t="s">
        <v>107</v>
      </c>
      <c r="C13" s="67">
        <v>20</v>
      </c>
      <c r="D13" s="68">
        <v>4828930</v>
      </c>
      <c r="E13" s="25"/>
      <c r="F13" s="19">
        <v>2</v>
      </c>
      <c r="G13" s="19">
        <f>G12+1</f>
        <v>2024</v>
      </c>
      <c r="H13" s="20">
        <v>3.2000000000000001E-2</v>
      </c>
      <c r="I13" s="70">
        <v>0.1</v>
      </c>
      <c r="K13" s="34" t="s">
        <v>76</v>
      </c>
      <c r="L13" s="34"/>
      <c r="M13" s="34"/>
      <c r="N13" s="34"/>
      <c r="O13" s="34"/>
      <c r="P13" s="34"/>
      <c r="Q13" s="34"/>
      <c r="R13" s="34"/>
      <c r="S13" s="34"/>
      <c r="T13" s="34"/>
      <c r="U13" s="34"/>
      <c r="V13" s="34"/>
      <c r="W13" s="34"/>
      <c r="X13" s="34"/>
      <c r="Y13" s="34"/>
    </row>
    <row r="14" spans="2:25" customFormat="1" ht="14.25" customHeight="1" x14ac:dyDescent="0.35">
      <c r="B14" s="66"/>
      <c r="C14" s="67"/>
      <c r="D14" s="68"/>
      <c r="E14" s="25"/>
      <c r="F14" s="19">
        <v>3</v>
      </c>
      <c r="G14" s="19">
        <f>G13+1</f>
        <v>2025</v>
      </c>
      <c r="H14" s="20">
        <v>0.03</v>
      </c>
      <c r="I14" s="70">
        <v>0.1</v>
      </c>
      <c r="K14" s="35" t="s">
        <v>77</v>
      </c>
      <c r="L14" s="35"/>
      <c r="M14" s="35"/>
      <c r="N14" s="35"/>
      <c r="O14" s="35"/>
      <c r="P14" s="35"/>
      <c r="Q14" s="35"/>
      <c r="R14" s="35"/>
      <c r="S14" s="35"/>
      <c r="T14" s="35"/>
      <c r="U14" s="35"/>
      <c r="V14" s="35"/>
    </row>
    <row r="15" spans="2:25" customFormat="1" x14ac:dyDescent="0.35">
      <c r="B15" s="66"/>
      <c r="C15" s="67"/>
      <c r="D15" s="68"/>
      <c r="E15" s="25"/>
      <c r="F15" s="19">
        <v>4</v>
      </c>
      <c r="G15" s="19">
        <f>G14+1</f>
        <v>2026</v>
      </c>
      <c r="H15" s="20">
        <v>0.03</v>
      </c>
      <c r="I15" s="70">
        <v>0.1</v>
      </c>
    </row>
    <row r="16" spans="2:25" customFormat="1" x14ac:dyDescent="0.35">
      <c r="B16" s="66"/>
      <c r="C16" s="67"/>
      <c r="D16" s="68"/>
      <c r="E16" s="25"/>
      <c r="F16" s="19">
        <v>5</v>
      </c>
      <c r="G16" s="19">
        <f>G15+1</f>
        <v>2027</v>
      </c>
      <c r="H16" s="20">
        <v>0.03</v>
      </c>
      <c r="I16" s="70">
        <v>0.1</v>
      </c>
    </row>
    <row r="17" spans="2:9" customFormat="1" x14ac:dyDescent="0.35">
      <c r="B17" s="66"/>
      <c r="C17" s="67"/>
      <c r="D17" s="68"/>
      <c r="E17" s="25"/>
      <c r="H17" s="142"/>
    </row>
    <row r="18" spans="2:9" customFormat="1" x14ac:dyDescent="0.35">
      <c r="B18" s="66"/>
      <c r="C18" s="67"/>
      <c r="D18" s="68"/>
      <c r="E18" s="25"/>
      <c r="G18" s="144" t="s">
        <v>90</v>
      </c>
      <c r="H18" s="142"/>
      <c r="I18" s="19"/>
    </row>
    <row r="19" spans="2:9" customFormat="1" x14ac:dyDescent="0.35">
      <c r="B19" s="59" t="s">
        <v>71</v>
      </c>
      <c r="C19" s="60"/>
      <c r="D19" s="61">
        <f>SUMPRODUCT(C11:C18,D11:D18)</f>
        <v>115894320</v>
      </c>
      <c r="E19" s="21"/>
      <c r="G19" s="142" t="s">
        <v>91</v>
      </c>
      <c r="H19" s="143">
        <v>1160000</v>
      </c>
      <c r="I19" s="19"/>
    </row>
    <row r="20" spans="2:9" customFormat="1" x14ac:dyDescent="0.35">
      <c r="B20" s="10"/>
      <c r="C20" s="22"/>
      <c r="G20" s="142" t="s">
        <v>92</v>
      </c>
      <c r="H20" s="143">
        <v>140606</v>
      </c>
      <c r="I20" s="19"/>
    </row>
    <row r="21" spans="2:9" customFormat="1" x14ac:dyDescent="0.35">
      <c r="B21" s="71" t="s">
        <v>48</v>
      </c>
      <c r="C21" s="62">
        <f>D84</f>
        <v>14340000</v>
      </c>
      <c r="D21" s="31"/>
      <c r="G21" s="142" t="s">
        <v>93</v>
      </c>
      <c r="H21" s="143">
        <f>-H19*4%</f>
        <v>-46400</v>
      </c>
      <c r="I21" s="19"/>
    </row>
    <row r="22" spans="2:9" customFormat="1" x14ac:dyDescent="0.35">
      <c r="D22" s="31"/>
      <c r="G22" s="142" t="s">
        <v>94</v>
      </c>
      <c r="H22" s="143">
        <f>-H19*4%</f>
        <v>-46400</v>
      </c>
      <c r="I22" s="19"/>
    </row>
    <row r="23" spans="2:9" customFormat="1" x14ac:dyDescent="0.35">
      <c r="D23" s="31"/>
      <c r="G23" s="142" t="s">
        <v>95</v>
      </c>
      <c r="H23" s="143">
        <f>+(((H19+H20)/360)*30)</f>
        <v>108383.83333333333</v>
      </c>
      <c r="I23" s="19"/>
    </row>
    <row r="24" spans="2:9" customFormat="1" ht="15" thickBot="1" x14ac:dyDescent="0.4">
      <c r="B24" s="76" t="s">
        <v>19</v>
      </c>
      <c r="G24" s="142" t="s">
        <v>96</v>
      </c>
      <c r="H24" s="143">
        <f>+(($H$19+H20)/360)*30</f>
        <v>108383.83333333333</v>
      </c>
    </row>
    <row r="25" spans="2:9" customFormat="1" ht="15" thickTop="1" x14ac:dyDescent="0.35">
      <c r="G25" s="142" t="s">
        <v>97</v>
      </c>
      <c r="H25" s="143">
        <f>+H24*12%</f>
        <v>13006.06</v>
      </c>
    </row>
    <row r="26" spans="2:9" customFormat="1" x14ac:dyDescent="0.35">
      <c r="B26" s="37" t="s">
        <v>10</v>
      </c>
      <c r="G26" s="142" t="s">
        <v>98</v>
      </c>
      <c r="H26" s="143">
        <f>+(H19/720)*30</f>
        <v>48333.333333333336</v>
      </c>
    </row>
    <row r="27" spans="2:9" customFormat="1" x14ac:dyDescent="0.35">
      <c r="G27" s="144" t="s">
        <v>99</v>
      </c>
      <c r="H27" s="145">
        <f>SUM(H19:H26)</f>
        <v>1485913.0599999998</v>
      </c>
    </row>
    <row r="28" spans="2:9" customFormat="1" x14ac:dyDescent="0.35">
      <c r="B28" s="324" t="s">
        <v>58</v>
      </c>
      <c r="C28" s="324"/>
      <c r="D28" s="57" t="s">
        <v>11</v>
      </c>
      <c r="E28" s="57" t="s">
        <v>24</v>
      </c>
      <c r="H28" s="323" t="s">
        <v>50</v>
      </c>
      <c r="I28" s="323"/>
    </row>
    <row r="29" spans="2:9" customFormat="1" x14ac:dyDescent="0.35">
      <c r="B29" s="321" t="s">
        <v>101</v>
      </c>
      <c r="C29" s="322"/>
      <c r="D29" s="74">
        <v>1</v>
      </c>
      <c r="E29" s="73">
        <f>+Base!H27</f>
        <v>1485913.0599999998</v>
      </c>
      <c r="H29" s="330"/>
      <c r="I29" s="331"/>
    </row>
    <row r="30" spans="2:9" customFormat="1" x14ac:dyDescent="0.35">
      <c r="B30" s="317" t="s">
        <v>14</v>
      </c>
      <c r="C30" s="318"/>
      <c r="D30" s="74">
        <v>1</v>
      </c>
      <c r="E30" s="75">
        <f>+Base!H27</f>
        <v>1485913.0599999998</v>
      </c>
      <c r="F30" s="30">
        <f>D30*E30*12</f>
        <v>17830956.719999999</v>
      </c>
      <c r="H30" s="328"/>
      <c r="I30" s="329"/>
    </row>
    <row r="31" spans="2:9" customFormat="1" x14ac:dyDescent="0.35">
      <c r="B31" s="317" t="s">
        <v>102</v>
      </c>
      <c r="C31" s="318"/>
      <c r="D31" s="74">
        <v>1</v>
      </c>
      <c r="E31" s="75">
        <f>+Base!H27</f>
        <v>1485913.0599999998</v>
      </c>
      <c r="F31" s="30">
        <f>D31*E31*12</f>
        <v>17830956.719999999</v>
      </c>
      <c r="H31" s="328"/>
      <c r="I31" s="329"/>
    </row>
    <row r="32" spans="2:9" customFormat="1" x14ac:dyDescent="0.35">
      <c r="B32" s="317" t="s">
        <v>103</v>
      </c>
      <c r="C32" s="318"/>
      <c r="D32" s="74">
        <v>1</v>
      </c>
      <c r="E32" s="75">
        <f>+Base!H27</f>
        <v>1485913.0599999998</v>
      </c>
      <c r="F32" s="30">
        <f>D32*E32*12</f>
        <v>17830956.719999999</v>
      </c>
      <c r="H32" s="328"/>
      <c r="I32" s="329"/>
    </row>
    <row r="33" spans="2:9" customFormat="1" x14ac:dyDescent="0.35">
      <c r="B33" s="317" t="s">
        <v>108</v>
      </c>
      <c r="C33" s="318"/>
      <c r="D33" s="74">
        <v>1</v>
      </c>
      <c r="E33" s="75">
        <f>+Base!H27</f>
        <v>1485913.0599999998</v>
      </c>
      <c r="F33" s="30">
        <f>D33*E33*12</f>
        <v>17830956.719999999</v>
      </c>
      <c r="H33" s="328"/>
      <c r="I33" s="329"/>
    </row>
    <row r="34" spans="2:9" customFormat="1" x14ac:dyDescent="0.35">
      <c r="B34" s="317"/>
      <c r="C34" s="318"/>
      <c r="D34" s="74"/>
      <c r="E34" s="75"/>
      <c r="F34" s="77">
        <f>D34*E34*12</f>
        <v>0</v>
      </c>
      <c r="H34" s="332"/>
      <c r="I34" s="333"/>
    </row>
    <row r="35" spans="2:9" customFormat="1" x14ac:dyDescent="0.35">
      <c r="D35" s="3"/>
      <c r="E35" s="78" t="s">
        <v>25</v>
      </c>
      <c r="F35" s="79">
        <f>SUM(F30:F34)</f>
        <v>71323826.879999995</v>
      </c>
    </row>
    <row r="36" spans="2:9" customFormat="1" x14ac:dyDescent="0.35">
      <c r="D36" s="3"/>
      <c r="E36" s="4"/>
      <c r="F36" s="23"/>
    </row>
    <row r="37" spans="2:9" customFormat="1" x14ac:dyDescent="0.35">
      <c r="B37" s="324" t="s">
        <v>49</v>
      </c>
      <c r="C37" s="324"/>
      <c r="D37" s="57" t="s">
        <v>11</v>
      </c>
      <c r="E37" s="57" t="s">
        <v>24</v>
      </c>
      <c r="F37" s="57" t="s">
        <v>22</v>
      </c>
      <c r="H37" s="323" t="s">
        <v>50</v>
      </c>
      <c r="I37" s="323"/>
    </row>
    <row r="38" spans="2:9" customFormat="1" x14ac:dyDescent="0.35">
      <c r="B38" s="321" t="s">
        <v>100</v>
      </c>
      <c r="C38" s="322"/>
      <c r="D38" s="74">
        <v>1</v>
      </c>
      <c r="E38" s="73">
        <v>1437240</v>
      </c>
      <c r="F38" s="30">
        <f>D38*E38*12</f>
        <v>17246880</v>
      </c>
      <c r="H38" s="328"/>
      <c r="I38" s="329"/>
    </row>
    <row r="39" spans="2:9" customFormat="1" x14ac:dyDescent="0.35">
      <c r="B39" s="317" t="s">
        <v>105</v>
      </c>
      <c r="C39" s="318"/>
      <c r="D39" s="74">
        <v>20</v>
      </c>
      <c r="E39" s="75">
        <v>119770</v>
      </c>
      <c r="F39" s="30">
        <f>D39*E39*1</f>
        <v>2395400</v>
      </c>
      <c r="H39" s="328"/>
      <c r="I39" s="329"/>
    </row>
    <row r="40" spans="2:9" customFormat="1" x14ac:dyDescent="0.35">
      <c r="B40" s="317"/>
      <c r="C40" s="318"/>
      <c r="D40" s="74"/>
      <c r="E40" s="75"/>
      <c r="F40" s="30">
        <f>D40*E40*12</f>
        <v>0</v>
      </c>
      <c r="H40" s="328"/>
      <c r="I40" s="329"/>
    </row>
    <row r="41" spans="2:9" customFormat="1" x14ac:dyDescent="0.35">
      <c r="B41" s="317"/>
      <c r="C41" s="318"/>
      <c r="D41" s="74"/>
      <c r="E41" s="75"/>
      <c r="F41" s="30">
        <f>D41*E41*12</f>
        <v>0</v>
      </c>
      <c r="H41" s="332"/>
      <c r="I41" s="333"/>
    </row>
    <row r="42" spans="2:9" customFormat="1" x14ac:dyDescent="0.35">
      <c r="D42" s="5"/>
      <c r="E42" s="78" t="s">
        <v>25</v>
      </c>
      <c r="F42" s="79">
        <f>SUM(F38:F41)</f>
        <v>19642280</v>
      </c>
    </row>
    <row r="43" spans="2:9" customFormat="1" x14ac:dyDescent="0.35">
      <c r="D43" s="5"/>
      <c r="E43" s="4"/>
      <c r="F43" s="23"/>
    </row>
    <row r="44" spans="2:9" customFormat="1" x14ac:dyDescent="0.35">
      <c r="B44" s="324" t="s">
        <v>12</v>
      </c>
      <c r="C44" s="324"/>
      <c r="D44" s="57" t="s">
        <v>11</v>
      </c>
      <c r="E44" s="57" t="s">
        <v>24</v>
      </c>
      <c r="F44" s="57" t="s">
        <v>22</v>
      </c>
      <c r="H44" s="323" t="s">
        <v>50</v>
      </c>
      <c r="I44" s="323"/>
    </row>
    <row r="45" spans="2:9" customFormat="1" x14ac:dyDescent="0.35">
      <c r="B45" s="317"/>
      <c r="C45" s="318"/>
      <c r="D45" s="74"/>
      <c r="E45" s="75">
        <v>0</v>
      </c>
      <c r="F45" s="30">
        <f>D45*E45*12</f>
        <v>0</v>
      </c>
      <c r="H45" s="328"/>
      <c r="I45" s="329"/>
    </row>
    <row r="46" spans="2:9" customFormat="1" x14ac:dyDescent="0.35">
      <c r="B46" s="320"/>
      <c r="C46" s="320"/>
      <c r="D46" s="74"/>
      <c r="E46" s="75">
        <v>0</v>
      </c>
      <c r="F46" s="30">
        <f>D46*E46*12</f>
        <v>0</v>
      </c>
      <c r="H46" s="328"/>
      <c r="I46" s="329"/>
    </row>
    <row r="47" spans="2:9" customFormat="1" x14ac:dyDescent="0.35">
      <c r="B47" s="317"/>
      <c r="C47" s="318"/>
      <c r="D47" s="74"/>
      <c r="E47" s="75">
        <v>0</v>
      </c>
      <c r="F47" s="30">
        <f>D47*E47*12</f>
        <v>0</v>
      </c>
      <c r="H47" s="332"/>
      <c r="I47" s="333"/>
    </row>
    <row r="48" spans="2:9" customFormat="1" x14ac:dyDescent="0.35">
      <c r="E48" s="78" t="s">
        <v>25</v>
      </c>
      <c r="F48" s="79">
        <f>SUM(F45:F47)</f>
        <v>0</v>
      </c>
    </row>
    <row r="49" spans="2:9" customFormat="1" x14ac:dyDescent="0.35"/>
    <row r="50" spans="2:9" customFormat="1" x14ac:dyDescent="0.35">
      <c r="B50" s="37" t="s">
        <v>20</v>
      </c>
    </row>
    <row r="51" spans="2:9" customFormat="1" x14ac:dyDescent="0.35"/>
    <row r="52" spans="2:9" customFormat="1" x14ac:dyDescent="0.35">
      <c r="B52" s="324" t="s">
        <v>13</v>
      </c>
      <c r="C52" s="324"/>
      <c r="D52" s="57" t="s">
        <v>11</v>
      </c>
      <c r="E52" s="57" t="s">
        <v>24</v>
      </c>
      <c r="F52" s="57" t="s">
        <v>22</v>
      </c>
      <c r="H52" s="323" t="s">
        <v>50</v>
      </c>
      <c r="I52" s="323"/>
    </row>
    <row r="53" spans="2:9" customFormat="1" x14ac:dyDescent="0.35">
      <c r="B53" s="336"/>
      <c r="C53" s="337"/>
      <c r="D53" s="74"/>
      <c r="E53" s="75">
        <v>0</v>
      </c>
      <c r="F53" s="30">
        <f>D53*E53*12</f>
        <v>0</v>
      </c>
      <c r="H53" s="328"/>
      <c r="I53" s="329"/>
    </row>
    <row r="54" spans="2:9" customFormat="1" x14ac:dyDescent="0.35">
      <c r="B54" s="334"/>
      <c r="C54" s="335"/>
      <c r="D54" s="74"/>
      <c r="E54" s="75">
        <v>0</v>
      </c>
      <c r="F54" s="30">
        <f>D54*E54*12</f>
        <v>0</v>
      </c>
      <c r="H54" s="328"/>
      <c r="I54" s="329"/>
    </row>
    <row r="55" spans="2:9" customFormat="1" x14ac:dyDescent="0.35">
      <c r="B55" s="334"/>
      <c r="C55" s="335"/>
      <c r="D55" s="74"/>
      <c r="E55" s="75">
        <v>0</v>
      </c>
      <c r="F55" s="30">
        <f>D55*E55*12</f>
        <v>0</v>
      </c>
      <c r="H55" s="328"/>
      <c r="I55" s="329"/>
    </row>
    <row r="56" spans="2:9" customFormat="1" x14ac:dyDescent="0.35">
      <c r="B56" s="334"/>
      <c r="C56" s="335"/>
      <c r="D56" s="74"/>
      <c r="E56" s="75"/>
      <c r="F56" s="30">
        <f>D56*E56*12</f>
        <v>0</v>
      </c>
      <c r="H56" s="332"/>
      <c r="I56" s="333"/>
    </row>
    <row r="57" spans="2:9" customFormat="1" x14ac:dyDescent="0.35">
      <c r="E57" s="78" t="s">
        <v>25</v>
      </c>
      <c r="F57" s="79">
        <f>SUM(F53:F56)</f>
        <v>0</v>
      </c>
    </row>
    <row r="58" spans="2:9" customFormat="1" x14ac:dyDescent="0.35"/>
    <row r="59" spans="2:9" customFormat="1" x14ac:dyDescent="0.35">
      <c r="B59" s="324" t="s">
        <v>15</v>
      </c>
      <c r="C59" s="324"/>
      <c r="D59" s="57" t="s">
        <v>23</v>
      </c>
      <c r="E59" s="57" t="s">
        <v>24</v>
      </c>
      <c r="F59" s="57" t="s">
        <v>22</v>
      </c>
      <c r="H59" s="323" t="s">
        <v>50</v>
      </c>
      <c r="I59" s="323"/>
    </row>
    <row r="60" spans="2:9" customFormat="1" x14ac:dyDescent="0.35">
      <c r="B60" s="334"/>
      <c r="C60" s="335"/>
      <c r="D60" s="74"/>
      <c r="E60" s="75"/>
      <c r="F60" s="30">
        <f>D60*E60*12</f>
        <v>0</v>
      </c>
      <c r="H60" s="328"/>
      <c r="I60" s="329"/>
    </row>
    <row r="61" spans="2:9" customFormat="1" x14ac:dyDescent="0.35">
      <c r="B61" s="334"/>
      <c r="C61" s="335"/>
      <c r="D61" s="74"/>
      <c r="E61" s="75"/>
      <c r="F61" s="30">
        <f>D61*E61*12</f>
        <v>0</v>
      </c>
      <c r="H61" s="332"/>
      <c r="I61" s="333"/>
    </row>
    <row r="62" spans="2:9" customFormat="1" x14ac:dyDescent="0.35">
      <c r="E62" s="78" t="s">
        <v>25</v>
      </c>
      <c r="F62" s="79">
        <f>SUM(F60:F61)</f>
        <v>0</v>
      </c>
    </row>
    <row r="63" spans="2:9" customFormat="1" x14ac:dyDescent="0.35"/>
    <row r="64" spans="2:9" customFormat="1" x14ac:dyDescent="0.35">
      <c r="B64" s="324" t="s">
        <v>296</v>
      </c>
      <c r="C64" s="324"/>
      <c r="D64" s="57" t="s">
        <v>11</v>
      </c>
      <c r="E64" s="57" t="s">
        <v>24</v>
      </c>
      <c r="F64" s="57" t="s">
        <v>22</v>
      </c>
      <c r="H64" s="323" t="s">
        <v>50</v>
      </c>
      <c r="I64" s="323"/>
    </row>
    <row r="65" spans="2:9" customFormat="1" x14ac:dyDescent="0.35">
      <c r="B65" s="334" t="s">
        <v>16</v>
      </c>
      <c r="C65" s="335"/>
      <c r="D65" s="74">
        <v>1</v>
      </c>
      <c r="E65" s="75">
        <v>700000</v>
      </c>
      <c r="F65" s="15">
        <f>D65*E65*12</f>
        <v>8400000</v>
      </c>
      <c r="H65" s="328"/>
      <c r="I65" s="329"/>
    </row>
    <row r="66" spans="2:9" customFormat="1" x14ac:dyDescent="0.35">
      <c r="B66" s="334" t="s">
        <v>17</v>
      </c>
      <c r="C66" s="335"/>
      <c r="D66" s="74">
        <v>1</v>
      </c>
      <c r="E66" s="75">
        <v>200000</v>
      </c>
      <c r="F66" s="15">
        <f>D66*E66*12</f>
        <v>2400000</v>
      </c>
      <c r="H66" s="328"/>
      <c r="I66" s="329"/>
    </row>
    <row r="67" spans="2:9" customFormat="1" x14ac:dyDescent="0.35">
      <c r="B67" t="s">
        <v>67</v>
      </c>
      <c r="E67" s="78" t="s">
        <v>25</v>
      </c>
      <c r="F67" s="79">
        <f>SUM(F65:F66)</f>
        <v>10800000</v>
      </c>
      <c r="H67" s="328"/>
      <c r="I67" s="329"/>
    </row>
    <row r="68" spans="2:9" customFormat="1" x14ac:dyDescent="0.35">
      <c r="H68" s="328"/>
      <c r="I68" s="329"/>
    </row>
    <row r="69" spans="2:9" customFormat="1" x14ac:dyDescent="0.35">
      <c r="H69" s="328"/>
      <c r="I69" s="329"/>
    </row>
    <row r="70" spans="2:9" customFormat="1" x14ac:dyDescent="0.35">
      <c r="B70" s="324" t="s">
        <v>12</v>
      </c>
      <c r="C70" s="324"/>
      <c r="D70" s="324"/>
      <c r="E70" s="324"/>
      <c r="H70" s="332"/>
      <c r="I70" s="333"/>
    </row>
    <row r="71" spans="2:9" customFormat="1" x14ac:dyDescent="0.35">
      <c r="B71" s="40" t="s">
        <v>79</v>
      </c>
      <c r="E71" s="80">
        <v>60</v>
      </c>
    </row>
    <row r="72" spans="2:9" customFormat="1" x14ac:dyDescent="0.35">
      <c r="B72" s="40" t="s">
        <v>78</v>
      </c>
      <c r="E72" s="81">
        <v>60</v>
      </c>
    </row>
    <row r="73" spans="2:9" customFormat="1" x14ac:dyDescent="0.35">
      <c r="B73" s="83" t="s">
        <v>293</v>
      </c>
      <c r="C73" s="84"/>
      <c r="D73" s="84"/>
      <c r="E73" s="85">
        <v>90</v>
      </c>
    </row>
    <row r="74" spans="2:9" customFormat="1" x14ac:dyDescent="0.35"/>
    <row r="75" spans="2:9" customFormat="1" x14ac:dyDescent="0.35">
      <c r="B75" s="24"/>
      <c r="C75" s="14"/>
      <c r="D75" s="11"/>
      <c r="E75" s="13"/>
      <c r="F75" s="13"/>
    </row>
    <row r="76" spans="2:9" customFormat="1" x14ac:dyDescent="0.35">
      <c r="B76" s="57" t="s">
        <v>45</v>
      </c>
      <c r="C76" s="57" t="s">
        <v>89</v>
      </c>
      <c r="D76" s="57" t="s">
        <v>88</v>
      </c>
      <c r="E76" s="57" t="s">
        <v>59</v>
      </c>
      <c r="F76" s="57" t="s">
        <v>60</v>
      </c>
    </row>
    <row r="77" spans="2:9" customFormat="1" x14ac:dyDescent="0.35">
      <c r="B77" s="82" t="s">
        <v>40</v>
      </c>
      <c r="C77" s="14" t="s">
        <v>37</v>
      </c>
      <c r="D77" s="75">
        <v>0</v>
      </c>
      <c r="E77" s="16"/>
      <c r="F77" s="33"/>
    </row>
    <row r="78" spans="2:9" customFormat="1" x14ac:dyDescent="0.35">
      <c r="B78" s="82" t="s">
        <v>41</v>
      </c>
      <c r="C78" s="14" t="s">
        <v>37</v>
      </c>
      <c r="D78" s="75">
        <v>0</v>
      </c>
      <c r="E78" s="16">
        <v>45</v>
      </c>
      <c r="F78" s="33">
        <f t="shared" ref="F78:F83" si="0">D78/E78</f>
        <v>0</v>
      </c>
    </row>
    <row r="79" spans="2:9" customFormat="1" x14ac:dyDescent="0.35">
      <c r="B79" s="82" t="s">
        <v>42</v>
      </c>
      <c r="C79" s="14" t="s">
        <v>37</v>
      </c>
      <c r="D79" s="75">
        <v>0</v>
      </c>
      <c r="E79" s="16">
        <v>10</v>
      </c>
      <c r="F79" s="33">
        <f t="shared" si="0"/>
        <v>0</v>
      </c>
      <c r="G79" s="13"/>
      <c r="H79" s="13"/>
      <c r="I79" s="13"/>
    </row>
    <row r="80" spans="2:9" customFormat="1" x14ac:dyDescent="0.35">
      <c r="B80" s="82" t="s">
        <v>43</v>
      </c>
      <c r="C80" s="14" t="s">
        <v>37</v>
      </c>
      <c r="D80" s="75">
        <v>2000000</v>
      </c>
      <c r="E80" s="16">
        <v>5</v>
      </c>
      <c r="F80" s="33">
        <f t="shared" si="0"/>
        <v>400000</v>
      </c>
      <c r="G80" s="12"/>
      <c r="H80" s="12"/>
      <c r="I80" s="12"/>
    </row>
    <row r="81" spans="2:9" customFormat="1" x14ac:dyDescent="0.35">
      <c r="B81" s="82" t="s">
        <v>44</v>
      </c>
      <c r="C81" s="14" t="s">
        <v>37</v>
      </c>
      <c r="D81" s="75">
        <v>0</v>
      </c>
      <c r="E81" s="16">
        <v>10</v>
      </c>
      <c r="F81" s="33">
        <f t="shared" si="0"/>
        <v>0</v>
      </c>
      <c r="G81" s="16"/>
      <c r="H81" s="16"/>
      <c r="I81" s="16"/>
    </row>
    <row r="82" spans="2:9" customFormat="1" x14ac:dyDescent="0.35">
      <c r="B82" s="82" t="s">
        <v>46</v>
      </c>
      <c r="C82" s="14" t="s">
        <v>37</v>
      </c>
      <c r="D82" s="75">
        <v>5000000</v>
      </c>
      <c r="E82" s="16">
        <v>5</v>
      </c>
      <c r="F82" s="33">
        <f t="shared" si="0"/>
        <v>1000000</v>
      </c>
      <c r="G82" s="16"/>
      <c r="H82" s="16"/>
      <c r="I82" s="16"/>
    </row>
    <row r="83" spans="2:9" customFormat="1" x14ac:dyDescent="0.35">
      <c r="B83" s="82" t="s">
        <v>292</v>
      </c>
      <c r="C83" s="14" t="s">
        <v>37</v>
      </c>
      <c r="D83" s="75">
        <v>7340000</v>
      </c>
      <c r="E83" s="16">
        <v>5</v>
      </c>
      <c r="F83" s="33">
        <f t="shared" si="0"/>
        <v>1468000</v>
      </c>
      <c r="G83" s="16"/>
      <c r="H83" s="16"/>
      <c r="I83" s="16"/>
    </row>
    <row r="84" spans="2:9" customFormat="1" x14ac:dyDescent="0.35">
      <c r="B84" s="82" t="s">
        <v>47</v>
      </c>
      <c r="C84" s="14" t="s">
        <v>37</v>
      </c>
      <c r="D84" s="75">
        <f>SUM(D77:D83)</f>
        <v>14340000</v>
      </c>
      <c r="E84" s="17"/>
      <c r="F84" s="33">
        <f>SUM(F78:F83)</f>
        <v>2868000</v>
      </c>
      <c r="G84" s="16"/>
      <c r="H84" s="16"/>
      <c r="I84" s="16"/>
    </row>
    <row r="85" spans="2:9" customFormat="1" ht="15" thickBot="1" x14ac:dyDescent="0.4">
      <c r="G85" s="16"/>
      <c r="H85" s="16"/>
      <c r="I85" s="16"/>
    </row>
    <row r="86" spans="2:9" customFormat="1" x14ac:dyDescent="0.35">
      <c r="B86" s="36"/>
      <c r="C86" s="338" t="s">
        <v>407</v>
      </c>
      <c r="D86" s="339"/>
      <c r="E86" s="340"/>
      <c r="F86" s="36"/>
      <c r="G86" s="36"/>
      <c r="H86" s="36"/>
      <c r="I86" s="16"/>
    </row>
    <row r="87" spans="2:9" customFormat="1" x14ac:dyDescent="0.35">
      <c r="B87" s="36"/>
      <c r="C87" s="270"/>
      <c r="E87" s="271"/>
      <c r="G87" s="16"/>
      <c r="H87" s="16"/>
      <c r="I87" s="16"/>
    </row>
    <row r="88" spans="2:9" customFormat="1" x14ac:dyDescent="0.35">
      <c r="B88" s="36"/>
      <c r="C88" s="272" t="s">
        <v>391</v>
      </c>
      <c r="D88" s="122"/>
      <c r="E88" s="273"/>
      <c r="G88" s="17"/>
      <c r="H88" s="17"/>
      <c r="I88" s="17"/>
    </row>
    <row r="89" spans="2:9" customFormat="1" x14ac:dyDescent="0.35">
      <c r="B89" s="36"/>
      <c r="C89" s="274" t="s">
        <v>398</v>
      </c>
      <c r="E89" s="271"/>
    </row>
    <row r="90" spans="2:9" customFormat="1" x14ac:dyDescent="0.35">
      <c r="B90" s="36"/>
      <c r="C90" s="272" t="s">
        <v>388</v>
      </c>
      <c r="D90" s="122"/>
      <c r="E90" s="273">
        <f>+'Proyección Balance Apertura'!C9</f>
        <v>-30711283.985066663</v>
      </c>
    </row>
    <row r="91" spans="2:9" customFormat="1" x14ac:dyDescent="0.35">
      <c r="B91" s="36"/>
      <c r="C91" s="275" t="s">
        <v>38</v>
      </c>
      <c r="D91" s="269"/>
      <c r="E91" s="276">
        <f>+'Proyección Balance Apertura'!C10</f>
        <v>19315720</v>
      </c>
    </row>
    <row r="92" spans="2:9" customFormat="1" x14ac:dyDescent="0.35">
      <c r="B92" s="36"/>
      <c r="C92" s="272" t="s">
        <v>389</v>
      </c>
      <c r="D92" s="122"/>
      <c r="E92" s="273">
        <f>+'Proyección Balance Apertura'!C11</f>
        <v>1931572</v>
      </c>
    </row>
    <row r="93" spans="2:9" customFormat="1" x14ac:dyDescent="0.35">
      <c r="B93" s="36"/>
      <c r="C93" s="275" t="s">
        <v>36</v>
      </c>
      <c r="D93" s="269"/>
      <c r="E93" s="276">
        <f>+'Proyección Balance Apertura'!C12</f>
        <v>19642280</v>
      </c>
    </row>
    <row r="94" spans="2:9" customFormat="1" x14ac:dyDescent="0.35">
      <c r="B94" s="36"/>
      <c r="C94" s="272" t="s">
        <v>390</v>
      </c>
      <c r="D94" s="122"/>
      <c r="E94" s="273">
        <f>SUM(E90:E93)</f>
        <v>10178288.014933337</v>
      </c>
      <c r="F94" s="36"/>
    </row>
    <row r="95" spans="2:9" customFormat="1" x14ac:dyDescent="0.35">
      <c r="B95" s="36"/>
      <c r="C95" s="275"/>
      <c r="D95" s="269"/>
      <c r="E95" s="276"/>
      <c r="F95" s="36"/>
    </row>
    <row r="96" spans="2:9" customFormat="1" x14ac:dyDescent="0.35">
      <c r="B96" s="36"/>
      <c r="C96" s="272" t="s">
        <v>395</v>
      </c>
      <c r="D96" s="122"/>
      <c r="E96" s="273"/>
      <c r="F96" s="36"/>
    </row>
    <row r="97" spans="2:6" customFormat="1" x14ac:dyDescent="0.35">
      <c r="B97" s="36"/>
      <c r="C97" s="275" t="s">
        <v>43</v>
      </c>
      <c r="D97" s="269"/>
      <c r="E97" s="276">
        <f>+'Proyección Balance Apertura'!C16</f>
        <v>2000000</v>
      </c>
      <c r="F97" s="36"/>
    </row>
    <row r="98" spans="2:6" x14ac:dyDescent="0.35">
      <c r="C98" s="272" t="s">
        <v>46</v>
      </c>
      <c r="D98" s="122"/>
      <c r="E98" s="273">
        <f>+'Proyección Balance Apertura'!C17</f>
        <v>5000000</v>
      </c>
    </row>
    <row r="99" spans="2:6" x14ac:dyDescent="0.35">
      <c r="C99" s="275" t="s">
        <v>292</v>
      </c>
      <c r="D99" s="269"/>
      <c r="E99" s="276">
        <f>+'Proyección Balance Apertura'!C18</f>
        <v>7340000</v>
      </c>
    </row>
    <row r="100" spans="2:6" x14ac:dyDescent="0.35">
      <c r="C100" s="272" t="s">
        <v>396</v>
      </c>
      <c r="D100" s="122"/>
      <c r="E100" s="273">
        <f>+'Proyección Balance Apertura'!C19</f>
        <v>22741526.719999999</v>
      </c>
    </row>
    <row r="101" spans="2:6" x14ac:dyDescent="0.35">
      <c r="C101" s="275" t="s">
        <v>392</v>
      </c>
      <c r="D101" s="269"/>
      <c r="E101" s="276">
        <f>+'Proyección Balance Apertura'!C20</f>
        <v>-2868000</v>
      </c>
    </row>
    <row r="102" spans="2:6" x14ac:dyDescent="0.35">
      <c r="C102" s="272" t="s">
        <v>393</v>
      </c>
      <c r="D102" s="122"/>
      <c r="E102" s="273">
        <f>SUM(E97:E101)</f>
        <v>34213526.719999999</v>
      </c>
    </row>
    <row r="103" spans="2:6" x14ac:dyDescent="0.35">
      <c r="C103" s="275"/>
      <c r="D103" s="269"/>
      <c r="E103" s="276"/>
    </row>
    <row r="104" spans="2:6" x14ac:dyDescent="0.35">
      <c r="C104" s="272" t="s">
        <v>394</v>
      </c>
      <c r="D104" s="122"/>
      <c r="E104" s="273">
        <f>+E94+E102</f>
        <v>44391814.734933332</v>
      </c>
    </row>
    <row r="105" spans="2:6" x14ac:dyDescent="0.35">
      <c r="C105" s="275"/>
      <c r="D105" s="269"/>
      <c r="E105" s="276"/>
    </row>
    <row r="106" spans="2:6" x14ac:dyDescent="0.35">
      <c r="C106" s="272" t="s">
        <v>397</v>
      </c>
      <c r="D106" s="122"/>
      <c r="E106" s="273"/>
    </row>
    <row r="107" spans="2:6" x14ac:dyDescent="0.35">
      <c r="C107" s="275" t="s">
        <v>398</v>
      </c>
      <c r="D107" s="269"/>
      <c r="E107" s="276"/>
    </row>
    <row r="108" spans="2:6" x14ac:dyDescent="0.35">
      <c r="C108" s="272" t="s">
        <v>80</v>
      </c>
      <c r="D108" s="122"/>
      <c r="E108" s="273">
        <f>+'Proyección Balance Apertura'!C27</f>
        <v>15161017.813333333</v>
      </c>
    </row>
    <row r="109" spans="2:6" x14ac:dyDescent="0.35">
      <c r="C109" s="275" t="s">
        <v>399</v>
      </c>
      <c r="D109" s="269"/>
      <c r="E109" s="276">
        <f>+'Proyección Balance Apertura'!C28</f>
        <v>3603268.1984000015</v>
      </c>
    </row>
    <row r="110" spans="2:6" x14ac:dyDescent="0.35">
      <c r="C110" s="272" t="s">
        <v>400</v>
      </c>
      <c r="D110" s="122"/>
      <c r="E110" s="273">
        <f>SUM(E108:E109)</f>
        <v>18764286.011733335</v>
      </c>
    </row>
    <row r="111" spans="2:6" x14ac:dyDescent="0.35">
      <c r="C111" s="275"/>
      <c r="D111" s="269"/>
      <c r="E111" s="276"/>
    </row>
    <row r="112" spans="2:6" x14ac:dyDescent="0.35">
      <c r="C112" s="272" t="s">
        <v>401</v>
      </c>
      <c r="D112" s="122"/>
      <c r="E112" s="273"/>
    </row>
    <row r="113" spans="3:5" x14ac:dyDescent="0.35">
      <c r="C113" s="275" t="s">
        <v>402</v>
      </c>
      <c r="D113" s="269"/>
      <c r="E113" s="276">
        <v>17970584</v>
      </c>
    </row>
    <row r="114" spans="3:5" x14ac:dyDescent="0.35">
      <c r="C114" s="272" t="s">
        <v>403</v>
      </c>
      <c r="D114" s="122"/>
      <c r="E114" s="273">
        <f>+'Proyección Balance Apertura'!C33</f>
        <v>7656944.9216000028</v>
      </c>
    </row>
    <row r="115" spans="3:5" x14ac:dyDescent="0.35">
      <c r="C115" s="275" t="s">
        <v>405</v>
      </c>
      <c r="D115" s="269"/>
      <c r="E115" s="276">
        <f>SUM(E113:E114)</f>
        <v>25627528.921600003</v>
      </c>
    </row>
    <row r="116" spans="3:5" x14ac:dyDescent="0.35">
      <c r="C116" s="272"/>
      <c r="D116" s="122"/>
      <c r="E116" s="273"/>
    </row>
    <row r="117" spans="3:5" x14ac:dyDescent="0.35">
      <c r="C117" s="275" t="s">
        <v>404</v>
      </c>
      <c r="D117" s="269"/>
      <c r="E117" s="276">
        <f>+E110+E115</f>
        <v>44391814.933333337</v>
      </c>
    </row>
    <row r="118" spans="3:5" ht="15" thickBot="1" x14ac:dyDescent="0.4">
      <c r="C118" s="277"/>
      <c r="D118" s="278"/>
      <c r="E118" s="279"/>
    </row>
  </sheetData>
  <sheetProtection formatCells="0" selectLockedCells="1" selectUnlockedCells="1"/>
  <dataConsolidate link="1"/>
  <mergeCells count="62">
    <mergeCell ref="C86:E86"/>
    <mergeCell ref="H65:I65"/>
    <mergeCell ref="H70:I70"/>
    <mergeCell ref="H66:I66"/>
    <mergeCell ref="H67:I67"/>
    <mergeCell ref="H68:I68"/>
    <mergeCell ref="H69:I69"/>
    <mergeCell ref="B70:E70"/>
    <mergeCell ref="B65:C65"/>
    <mergeCell ref="B66:C66"/>
    <mergeCell ref="H60:I60"/>
    <mergeCell ref="H61:I61"/>
    <mergeCell ref="B64:C64"/>
    <mergeCell ref="H64:I64"/>
    <mergeCell ref="H53:I53"/>
    <mergeCell ref="H54:I54"/>
    <mergeCell ref="H55:I55"/>
    <mergeCell ref="H56:I56"/>
    <mergeCell ref="B59:C59"/>
    <mergeCell ref="H59:I59"/>
    <mergeCell ref="B60:C60"/>
    <mergeCell ref="B61:C61"/>
    <mergeCell ref="B53:C53"/>
    <mergeCell ref="B54:C54"/>
    <mergeCell ref="B55:C55"/>
    <mergeCell ref="B56:C56"/>
    <mergeCell ref="H46:I46"/>
    <mergeCell ref="H47:I47"/>
    <mergeCell ref="H45:I45"/>
    <mergeCell ref="B52:C52"/>
    <mergeCell ref="H52:I52"/>
    <mergeCell ref="H39:I39"/>
    <mergeCell ref="H40:I40"/>
    <mergeCell ref="H41:I41"/>
    <mergeCell ref="B44:C44"/>
    <mergeCell ref="H44:I44"/>
    <mergeCell ref="H28:I28"/>
    <mergeCell ref="H37:I37"/>
    <mergeCell ref="B37:C37"/>
    <mergeCell ref="D6:G6"/>
    <mergeCell ref="H38:I38"/>
    <mergeCell ref="H29:I29"/>
    <mergeCell ref="H30:I30"/>
    <mergeCell ref="H31:I31"/>
    <mergeCell ref="H32:I32"/>
    <mergeCell ref="H33:I33"/>
    <mergeCell ref="H34:I34"/>
    <mergeCell ref="B28:C28"/>
    <mergeCell ref="B29:C29"/>
    <mergeCell ref="B30:C30"/>
    <mergeCell ref="B31:C31"/>
    <mergeCell ref="B32:C32"/>
    <mergeCell ref="B33:C33"/>
    <mergeCell ref="B34:C34"/>
    <mergeCell ref="C3:G3"/>
    <mergeCell ref="B46:C46"/>
    <mergeCell ref="B47:C47"/>
    <mergeCell ref="B38:C38"/>
    <mergeCell ref="B39:C39"/>
    <mergeCell ref="B40:C40"/>
    <mergeCell ref="B41:C41"/>
    <mergeCell ref="B45:C45"/>
  </mergeCells>
  <dataValidations xWindow="680" yWindow="595" count="11">
    <dataValidation allowBlank="1" showInputMessage="1" showErrorMessage="1" promptTitle="Terrenos" prompt="Valor total anual de Inversión en Terrenos (se toma como inversión al inicio del año)" sqref="D77 G81:I81" xr:uid="{00000000-0002-0000-0100-00000E000000}"/>
    <dataValidation allowBlank="1" showInputMessage="1" showErrorMessage="1" promptTitle="Construcciones y Edificios" prompt="Valor total anual de Inversión en Construcciones y Edificios (se toma como inversión al inicio del año)" sqref="G82:I82" xr:uid="{00000000-0002-0000-0100-00000F000000}"/>
    <dataValidation allowBlank="1" showInputMessage="1" showErrorMessage="1" promptTitle="Maquinaria y Equipo" prompt="Valor total anual de Inversión en Maquinaria y Equipo (se toma como inversión al inicio del año)" sqref="G83:I83" xr:uid="{00000000-0002-0000-0100-000010000000}"/>
    <dataValidation allowBlank="1" showInputMessage="1" showErrorMessage="1" promptTitle="Construcciones y Edificios" prompt="Valor total anual de Inversión en Muebles y Enseres (se toma como inversión al inicio del año)" sqref="D78 G84:I84" xr:uid="{00000000-0002-0000-0100-000011000000}"/>
    <dataValidation allowBlank="1" showInputMessage="1" showErrorMessage="1" promptTitle="Equipos de Transporte" prompt="Valor total anual de Inversión en Equipos de Transporte (se toma como inversión al inicio del año)" sqref="G85:I85 D81" xr:uid="{00000000-0002-0000-0100-000012000000}"/>
    <dataValidation allowBlank="1" showInputMessage="1" showErrorMessage="1" promptTitle="Equipos de Oficina" prompt="Valor total anual de Inversión en Equipos de Oficina (se toma como inversión al inicio del año)" sqref="D82 I86" xr:uid="{00000000-0002-0000-0100-000013000000}"/>
    <dataValidation allowBlank="1" showInputMessage="1" showErrorMessage="1" promptTitle="Semovientes " prompt="Valor total anual de Semovientes (se toma como inversión al inicio del año)" sqref="G87:I87" xr:uid="{00000000-0002-0000-0100-000014000000}"/>
    <dataValidation allowBlank="1" showInputMessage="1" showErrorMessage="1" promptTitle="Otros" prompt="Valor total anual de otras inversiones que no se estipularon en terrenos, construcciones, maquinaria y equipo, equipos de transporte y equipos de oficina" sqref="D83" xr:uid="{00000000-0002-0000-0100-000016000000}"/>
    <dataValidation allowBlank="1" showInputMessage="1" showErrorMessage="1" promptTitle="Equipos de oficina" prompt="Valor total anual de Inversión en equipos de cómputo (se toma como inversión al inicio del año)" sqref="D80" xr:uid="{00000000-0002-0000-0100-000017000000}"/>
    <dataValidation allowBlank="1" showInputMessage="1" showErrorMessage="1" promptTitle="Maquinaria y Equipo" prompt="Valor total anual de Inversión en Terrenos (se toma como inversión al inicio del año)" sqref="D79" xr:uid="{00000000-0002-0000-0100-000018000000}"/>
    <dataValidation allowBlank="1" showErrorMessage="1" sqref="E77:F83" xr:uid="{00000000-0002-0000-0100-000019000000}"/>
  </dataValidations>
  <hyperlinks>
    <hyperlink ref="K12" r:id="rId1" xr:uid="{77FEDD48-098F-451E-9BD0-1DE094C414A0}"/>
  </hyperlinks>
  <pageMargins left="0.7" right="0.7" top="0.75" bottom="0.75" header="0.3" footer="0.3"/>
  <pageSetup orientation="portrait" r:id="rId2"/>
  <ignoredErrors>
    <ignoredError sqref="F78:F83" unlockedFormula="1"/>
  </ignoredErrors>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EC54"/>
  </sheetPr>
  <dimension ref="B1:J33"/>
  <sheetViews>
    <sheetView showGridLines="0" showRowColHeaders="0" zoomScaleNormal="100" workbookViewId="0">
      <pane ySplit="1" topLeftCell="A19" activePane="bottomLeft" state="frozen"/>
      <selection pane="bottomLeft" activeCell="F19" sqref="F19"/>
    </sheetView>
  </sheetViews>
  <sheetFormatPr baseColWidth="10" defaultColWidth="11.453125" defaultRowHeight="14.5" x14ac:dyDescent="0.35"/>
  <cols>
    <col min="1" max="1" width="7.7265625" style="36" customWidth="1"/>
    <col min="2" max="2" width="4.81640625" style="36" customWidth="1"/>
    <col min="3" max="3" width="42.54296875" style="36" customWidth="1"/>
    <col min="4" max="4" width="21.7265625" style="36" customWidth="1"/>
    <col min="5" max="5" width="21" style="36" customWidth="1"/>
    <col min="6" max="6" width="21.1796875" style="36" customWidth="1"/>
    <col min="7" max="8" width="20.1796875" style="36" bestFit="1" customWidth="1"/>
    <col min="9" max="9" width="20.54296875" style="36" bestFit="1" customWidth="1"/>
    <col min="10" max="16384" width="11.453125" style="36"/>
  </cols>
  <sheetData>
    <row r="1" spans="2:10" customFormat="1" ht="58.5" customHeight="1" x14ac:dyDescent="0.35"/>
    <row r="3" spans="2:10" customFormat="1" x14ac:dyDescent="0.35"/>
    <row r="4" spans="2:10" customFormat="1" ht="15" thickBot="1" x14ac:dyDescent="0.4">
      <c r="D4" s="341" t="s">
        <v>5</v>
      </c>
      <c r="E4" s="341"/>
      <c r="F4" s="341"/>
      <c r="G4" s="341"/>
      <c r="H4" s="341"/>
      <c r="I4" s="341"/>
    </row>
    <row r="5" spans="2:10" s="8" customFormat="1" ht="15" thickTop="1" x14ac:dyDescent="0.35"/>
    <row r="6" spans="2:10" s="8" customFormat="1" x14ac:dyDescent="0.35">
      <c r="B6" s="88"/>
      <c r="C6" s="88"/>
      <c r="D6" s="94" t="str">
        <f>'Proyección P&amp;G'!D5</f>
        <v>Año 0</v>
      </c>
      <c r="E6" s="87" t="str">
        <f>'Proyección P&amp;G'!E5</f>
        <v>Año 1</v>
      </c>
      <c r="F6" s="94" t="str">
        <f>'Proyección P&amp;G'!F5</f>
        <v>Año 2</v>
      </c>
      <c r="G6" s="87" t="str">
        <f>'Proyección P&amp;G'!G5</f>
        <v>Año 3</v>
      </c>
      <c r="H6" s="94" t="str">
        <f>'Proyección P&amp;G'!H5</f>
        <v>Año 4</v>
      </c>
      <c r="I6" s="87" t="str">
        <f>'Proyección P&amp;G'!I5</f>
        <v>Año 5</v>
      </c>
    </row>
    <row r="7" spans="2:10" s="8" customFormat="1" x14ac:dyDescent="0.35">
      <c r="B7" s="41"/>
      <c r="D7" s="95"/>
      <c r="E7" s="54"/>
      <c r="F7" s="96"/>
      <c r="G7" s="54"/>
      <c r="H7" s="96"/>
      <c r="I7" s="54"/>
    </row>
    <row r="8" spans="2:10" customFormat="1" x14ac:dyDescent="0.35">
      <c r="B8" s="89" t="s">
        <v>81</v>
      </c>
      <c r="C8" s="89" t="s">
        <v>84</v>
      </c>
      <c r="D8" s="116">
        <f>'Proyección P&amp;G'!D24</f>
        <v>7656944.9216000028</v>
      </c>
      <c r="E8" s="32">
        <f>'Proyección P&amp;G'!E24</f>
        <v>15000972.694060817</v>
      </c>
      <c r="F8" s="116">
        <f>'Proyección P&amp;G'!F24</f>
        <v>23434880.845033757</v>
      </c>
      <c r="G8" s="32">
        <f>'Proyección P&amp;G'!G24</f>
        <v>33192607.971786845</v>
      </c>
      <c r="H8" s="116">
        <f>'Proyección P&amp;G'!H24</f>
        <v>44420464.053478695</v>
      </c>
      <c r="I8" s="32">
        <f>'Proyección P&amp;G'!I24</f>
        <v>57338011.846678898</v>
      </c>
      <c r="J8" s="26"/>
    </row>
    <row r="9" spans="2:10" customFormat="1" x14ac:dyDescent="0.35">
      <c r="B9" s="90" t="s">
        <v>82</v>
      </c>
      <c r="C9" s="40" t="s">
        <v>73</v>
      </c>
      <c r="D9" s="117">
        <f>Base!$F$84</f>
        <v>2868000</v>
      </c>
      <c r="E9" s="2">
        <f>Base!$F$84</f>
        <v>2868000</v>
      </c>
      <c r="F9" s="117">
        <f>Base!$F$84</f>
        <v>2868000</v>
      </c>
      <c r="G9" s="2">
        <f>Base!$F$84</f>
        <v>2868000</v>
      </c>
      <c r="H9" s="117">
        <f>Base!$F$84</f>
        <v>2868000</v>
      </c>
      <c r="I9" s="2">
        <f>Base!$F$84</f>
        <v>2868000</v>
      </c>
    </row>
    <row r="10" spans="2:10" customFormat="1" x14ac:dyDescent="0.35">
      <c r="B10" s="90" t="s">
        <v>82</v>
      </c>
      <c r="C10" s="40" t="s">
        <v>0</v>
      </c>
      <c r="D10" s="117">
        <f>'Proyección P&amp;G'!D23</f>
        <v>3603268.1984000015</v>
      </c>
      <c r="E10" s="2">
        <f>'Proyección P&amp;G'!E23</f>
        <v>6739567.4422592074</v>
      </c>
      <c r="F10" s="117">
        <f>'Proyección P&amp;G'!F23</f>
        <v>10043520.362157324</v>
      </c>
      <c r="G10" s="2">
        <f>'Proyección P&amp;G'!G23</f>
        <v>14225403.416480076</v>
      </c>
      <c r="H10" s="117">
        <f>'Proyección P&amp;G'!H23</f>
        <v>19037341.737205155</v>
      </c>
      <c r="I10" s="2">
        <f>'Proyección P&amp;G'!I23</f>
        <v>24573433.648576673</v>
      </c>
    </row>
    <row r="11" spans="2:10" customFormat="1" x14ac:dyDescent="0.35">
      <c r="B11" s="89" t="s">
        <v>81</v>
      </c>
      <c r="C11" s="89" t="s">
        <v>1</v>
      </c>
      <c r="D11" s="116">
        <f t="shared" ref="D11:I11" si="0">SUM(D8:D10)</f>
        <v>14128213.120000005</v>
      </c>
      <c r="E11" s="32">
        <f t="shared" si="0"/>
        <v>24608540.136320025</v>
      </c>
      <c r="F11" s="116">
        <f t="shared" si="0"/>
        <v>36346401.20719108</v>
      </c>
      <c r="G11" s="32">
        <f t="shared" si="0"/>
        <v>50286011.388266921</v>
      </c>
      <c r="H11" s="116">
        <f t="shared" si="0"/>
        <v>66325805.790683851</v>
      </c>
      <c r="I11" s="32">
        <f t="shared" si="0"/>
        <v>84779445.495255575</v>
      </c>
    </row>
    <row r="12" spans="2:10" customFormat="1" x14ac:dyDescent="0.35">
      <c r="B12" s="90" t="s">
        <v>83</v>
      </c>
      <c r="C12" s="40" t="s">
        <v>0</v>
      </c>
      <c r="D12" s="117">
        <f>'Proyección P&amp;G'!D23</f>
        <v>3603268.1984000015</v>
      </c>
      <c r="E12" s="2">
        <f>'Proyección P&amp;G'!E23</f>
        <v>6739567.4422592074</v>
      </c>
      <c r="F12" s="117">
        <f>'Proyección P&amp;G'!F23</f>
        <v>10043520.362157324</v>
      </c>
      <c r="G12" s="2">
        <f>'Proyección P&amp;G'!G23</f>
        <v>14225403.416480076</v>
      </c>
      <c r="H12" s="117">
        <f>'Proyección P&amp;G'!H23</f>
        <v>19037341.737205155</v>
      </c>
      <c r="I12" s="2">
        <f>'Proyección P&amp;G'!I23</f>
        <v>24573433.648576673</v>
      </c>
    </row>
    <row r="13" spans="2:10" customFormat="1" x14ac:dyDescent="0.35">
      <c r="B13" s="89" t="s">
        <v>81</v>
      </c>
      <c r="C13" s="89" t="s">
        <v>2</v>
      </c>
      <c r="D13" s="116">
        <f t="shared" ref="D13:I13" si="1">D11-D12</f>
        <v>10524944.921600003</v>
      </c>
      <c r="E13" s="32">
        <f t="shared" si="1"/>
        <v>17868972.694060817</v>
      </c>
      <c r="F13" s="116">
        <f t="shared" si="1"/>
        <v>26302880.845033757</v>
      </c>
      <c r="G13" s="32">
        <f t="shared" si="1"/>
        <v>36060607.971786842</v>
      </c>
      <c r="H13" s="116">
        <f t="shared" si="1"/>
        <v>47288464.053478695</v>
      </c>
      <c r="I13" s="32">
        <f t="shared" si="1"/>
        <v>60206011.846678898</v>
      </c>
    </row>
    <row r="14" spans="2:10" customFormat="1" x14ac:dyDescent="0.35">
      <c r="B14" s="90" t="s">
        <v>83</v>
      </c>
      <c r="C14" s="40" t="s">
        <v>87</v>
      </c>
      <c r="D14" s="117">
        <f t="shared" ref="D14:I14" si="2">D28</f>
        <v>26896228.906666666</v>
      </c>
      <c r="E14" s="2">
        <f t="shared" si="2"/>
        <v>3138951.1833066717</v>
      </c>
      <c r="F14" s="117">
        <f t="shared" si="2"/>
        <v>3425289.5801943541</v>
      </c>
      <c r="G14" s="2">
        <f t="shared" si="2"/>
        <v>3795711.6951231584</v>
      </c>
      <c r="H14" s="117">
        <f t="shared" si="2"/>
        <v>4280905.4274442643</v>
      </c>
      <c r="I14" s="2">
        <f t="shared" si="2"/>
        <v>4830040.8484701738</v>
      </c>
    </row>
    <row r="15" spans="2:10" customFormat="1" x14ac:dyDescent="0.35">
      <c r="B15" s="90" t="s">
        <v>83</v>
      </c>
      <c r="C15" s="40" t="s">
        <v>61</v>
      </c>
      <c r="D15" s="117">
        <f>Base!D84</f>
        <v>14340000</v>
      </c>
      <c r="E15" s="2"/>
      <c r="F15" s="117"/>
      <c r="G15" s="2"/>
      <c r="H15" s="117"/>
      <c r="I15" s="2"/>
    </row>
    <row r="16" spans="2:10" customFormat="1" x14ac:dyDescent="0.35">
      <c r="B16" s="91" t="s">
        <v>81</v>
      </c>
      <c r="C16" s="92" t="s">
        <v>86</v>
      </c>
      <c r="D16" s="118">
        <f t="shared" ref="D16:I16" si="3">+D13-D14-D15</f>
        <v>-30711283.985066663</v>
      </c>
      <c r="E16" s="115">
        <f t="shared" si="3"/>
        <v>14730021.510754146</v>
      </c>
      <c r="F16" s="118">
        <f t="shared" si="3"/>
        <v>22877591.264839403</v>
      </c>
      <c r="G16" s="115">
        <f t="shared" si="3"/>
        <v>32264896.276663683</v>
      </c>
      <c r="H16" s="118">
        <f t="shared" si="3"/>
        <v>43007558.626034431</v>
      </c>
      <c r="I16" s="115">
        <f t="shared" si="3"/>
        <v>55375970.998208724</v>
      </c>
    </row>
    <row r="17" spans="2:10" customFormat="1" x14ac:dyDescent="0.35">
      <c r="C17" s="9"/>
      <c r="D17" s="28"/>
      <c r="E17" s="28"/>
      <c r="F17" s="28"/>
      <c r="G17" s="28"/>
      <c r="H17" s="28"/>
      <c r="I17" s="28"/>
    </row>
    <row r="18" spans="2:10" customFormat="1" x14ac:dyDescent="0.35"/>
    <row r="19" spans="2:10" customFormat="1" x14ac:dyDescent="0.35">
      <c r="B19" s="93"/>
      <c r="C19" s="98" t="s">
        <v>63</v>
      </c>
      <c r="D19" s="119">
        <f t="shared" ref="D19:I19" si="4">D16</f>
        <v>-30711283.985066663</v>
      </c>
      <c r="E19" s="113">
        <f t="shared" si="4"/>
        <v>14730021.510754146</v>
      </c>
      <c r="F19" s="119">
        <f t="shared" si="4"/>
        <v>22877591.264839403</v>
      </c>
      <c r="G19" s="113">
        <f t="shared" si="4"/>
        <v>32264896.276663683</v>
      </c>
      <c r="H19" s="119">
        <f t="shared" si="4"/>
        <v>43007558.626034431</v>
      </c>
      <c r="I19" s="113">
        <f t="shared" si="4"/>
        <v>55375970.998208724</v>
      </c>
    </row>
    <row r="20" spans="2:10" customFormat="1" x14ac:dyDescent="0.35">
      <c r="C20" s="41" t="s">
        <v>64</v>
      </c>
      <c r="D20" s="120">
        <f>IRR(D19:I19)</f>
        <v>0.7311630731668155</v>
      </c>
      <c r="E20" s="107"/>
      <c r="F20" s="120"/>
      <c r="G20" s="107"/>
      <c r="H20" s="120"/>
      <c r="I20" s="107"/>
    </row>
    <row r="21" spans="2:10" customFormat="1" x14ac:dyDescent="0.35">
      <c r="B21" s="88"/>
      <c r="C21" s="55" t="s">
        <v>3</v>
      </c>
      <c r="D21" s="121">
        <f>NPV(10%,D19:I19)</f>
        <v>81442455.821852162</v>
      </c>
      <c r="E21" s="114"/>
      <c r="F21" s="121"/>
      <c r="G21" s="114"/>
      <c r="H21" s="121"/>
      <c r="I21" s="114"/>
    </row>
    <row r="22" spans="2:10" customFormat="1" x14ac:dyDescent="0.35">
      <c r="C22" s="8"/>
      <c r="D22" s="21"/>
    </row>
    <row r="23" spans="2:10" customFormat="1" x14ac:dyDescent="0.35"/>
    <row r="24" spans="2:10" customFormat="1" x14ac:dyDescent="0.35">
      <c r="B24" s="99" t="s">
        <v>82</v>
      </c>
      <c r="C24" s="99" t="s">
        <v>38</v>
      </c>
      <c r="D24" s="122">
        <f>+Base!$E$71/360*'Proyección P&amp;G'!D9</f>
        <v>19315720</v>
      </c>
      <c r="E24" s="111">
        <f>+Base!$E$71/360*'Proyección P&amp;G'!E9</f>
        <v>22012194.512000002</v>
      </c>
      <c r="F24" s="122">
        <f>+Base!$E$71/360*'Proyección P&amp;G'!F9</f>
        <v>24988243.210022409</v>
      </c>
      <c r="G24" s="111">
        <f>+Base!$E$71/360*'Proyección P&amp;G'!G9</f>
        <v>28311679.556955397</v>
      </c>
      <c r="H24" s="122">
        <f>+Base!$E$71/360*'Proyección P&amp;G'!H9</f>
        <v>32077132.93803047</v>
      </c>
      <c r="I24" s="111">
        <f>+Base!$E$71/360*'Proyección P&amp;G'!I9</f>
        <v>36343391.618788525</v>
      </c>
      <c r="J24" s="27"/>
    </row>
    <row r="25" spans="2:10" customFormat="1" x14ac:dyDescent="0.35">
      <c r="B25" s="90" t="s">
        <v>82</v>
      </c>
      <c r="C25" s="224" t="s">
        <v>39</v>
      </c>
      <c r="D25" s="117">
        <f>Base!$E$73/360*'Proyección P&amp;G'!D12</f>
        <v>22741526.719999999</v>
      </c>
      <c r="E25" s="2">
        <f>Base!$E$73/360*'Proyección P&amp;G'!E12</f>
        <v>24068956.73392</v>
      </c>
      <c r="F25" s="117">
        <f>Base!$E$73/360*'Proyección P&amp;G'!F12</f>
        <v>25416679.380435843</v>
      </c>
      <c r="G25" s="2">
        <f>Base!$E$73/360*'Proyección P&amp;G'!G12</f>
        <v>26833505.425006364</v>
      </c>
      <c r="H25" s="117">
        <f>Base!$E$73/360*'Proyección P&amp;G'!H12</f>
        <v>28379861.564113945</v>
      </c>
      <c r="I25" s="2">
        <f>Base!$E$73/360*'Proyección P&amp;G'!I12</f>
        <v>30071208.067250278</v>
      </c>
    </row>
    <row r="26" spans="2:10" customFormat="1" x14ac:dyDescent="0.35">
      <c r="B26" s="90" t="s">
        <v>83</v>
      </c>
      <c r="C26" s="90" t="s">
        <v>80</v>
      </c>
      <c r="D26" s="117">
        <f>Base!$E$72/360*'Proyección P&amp;G'!D12</f>
        <v>15161017.813333333</v>
      </c>
      <c r="E26" s="2">
        <f>Base!$E$72/360*'Proyección P&amp;G'!E12</f>
        <v>16045971.155946666</v>
      </c>
      <c r="F26" s="117">
        <f>Base!$E$72/360*'Proyección P&amp;G'!F12</f>
        <v>16944452.92029056</v>
      </c>
      <c r="G26" s="2">
        <f>Base!$E$72/360*'Proyección P&amp;G'!G12</f>
        <v>17889003.616670907</v>
      </c>
      <c r="H26" s="117">
        <f>Base!$E$72/360*'Proyección P&amp;G'!H12</f>
        <v>18919907.709409297</v>
      </c>
      <c r="I26" s="2">
        <f>Base!$E$72/360*'Proyección P&amp;G'!I12</f>
        <v>20047472.044833519</v>
      </c>
    </row>
    <row r="27" spans="2:10" customFormat="1" x14ac:dyDescent="0.35">
      <c r="B27" s="90"/>
      <c r="C27" s="90" t="s">
        <v>85</v>
      </c>
      <c r="D27" s="117">
        <f t="shared" ref="D27:I27" si="5">D24+D25-D26</f>
        <v>26896228.906666666</v>
      </c>
      <c r="E27" s="2">
        <f t="shared" si="5"/>
        <v>30035180.089973338</v>
      </c>
      <c r="F27" s="117">
        <f t="shared" si="5"/>
        <v>33460469.670167692</v>
      </c>
      <c r="G27" s="2">
        <f t="shared" si="5"/>
        <v>37256181.36529085</v>
      </c>
      <c r="H27" s="117">
        <f t="shared" si="5"/>
        <v>41537086.792735115</v>
      </c>
      <c r="I27" s="2">
        <f t="shared" si="5"/>
        <v>46367127.641205288</v>
      </c>
    </row>
    <row r="28" spans="2:10" customFormat="1" x14ac:dyDescent="0.35">
      <c r="B28" s="83"/>
      <c r="C28" s="83" t="s">
        <v>87</v>
      </c>
      <c r="D28" s="123">
        <f>D27-0</f>
        <v>26896228.906666666</v>
      </c>
      <c r="E28" s="112">
        <f>E27-D27</f>
        <v>3138951.1833066717</v>
      </c>
      <c r="F28" s="123">
        <f>F27-E27</f>
        <v>3425289.5801943541</v>
      </c>
      <c r="G28" s="112">
        <f>G27-F27</f>
        <v>3795711.6951231584</v>
      </c>
      <c r="H28" s="123">
        <f>H27-G27</f>
        <v>4280905.4274442643</v>
      </c>
      <c r="I28" s="112">
        <f>I27-H27</f>
        <v>4830040.8484701738</v>
      </c>
    </row>
    <row r="29" spans="2:10" customFormat="1" x14ac:dyDescent="0.35"/>
    <row r="30" spans="2:10" x14ac:dyDescent="0.35">
      <c r="B30" s="141"/>
      <c r="C30" s="141"/>
      <c r="D30" s="97"/>
      <c r="E30" s="97"/>
      <c r="F30" s="97"/>
      <c r="G30" s="97"/>
      <c r="H30" s="97"/>
      <c r="I30" s="97"/>
    </row>
    <row r="31" spans="2:10" x14ac:dyDescent="0.35">
      <c r="B31" s="141"/>
      <c r="C31" s="141"/>
      <c r="D31" s="97"/>
      <c r="E31" s="97"/>
      <c r="F31" s="97"/>
      <c r="G31" s="97"/>
      <c r="H31" s="97"/>
      <c r="I31" s="97"/>
    </row>
    <row r="32" spans="2:10" x14ac:dyDescent="0.35">
      <c r="B32" s="141"/>
      <c r="C32" s="141"/>
      <c r="D32" s="97"/>
      <c r="E32" s="97"/>
      <c r="F32" s="97"/>
      <c r="G32" s="97"/>
      <c r="H32" s="97"/>
      <c r="I32" s="97"/>
    </row>
    <row r="33" spans="4:9" x14ac:dyDescent="0.35">
      <c r="D33" s="97"/>
      <c r="E33" s="97"/>
      <c r="F33" s="97"/>
      <c r="G33" s="97"/>
      <c r="H33" s="97"/>
      <c r="I33" s="97"/>
    </row>
  </sheetData>
  <sheetProtection algorithmName="SHA-512" hashValue="MCfDebxqvYI13WKo5haDABhWTL+IHOk9IbuG1Acw189jwFJW3+3K7YB7NsMIORa3LNn6CrQ8o9PTvF9L5n44SA==" saltValue="Og8+jtiUhduBIjAJwc7wKA==" spinCount="100000" sheet="1" formatCells="0" formatColumns="0" formatRows="0" insertColumns="0" insertRows="0" insertHyperlinks="0" deleteColumns="0" deleteRows="0" pivotTables="0"/>
  <mergeCells count="1">
    <mergeCell ref="D4:I4"/>
  </mergeCells>
  <conditionalFormatting sqref="D19:I21">
    <cfRule type="cellIs" dxfId="6" priority="3" operator="lessThan">
      <formula>0</formula>
    </cfRule>
  </conditionalFormatting>
  <conditionalFormatting sqref="D16">
    <cfRule type="cellIs" dxfId="5" priority="2" operator="lessThan">
      <formula>0</formula>
    </cfRule>
  </conditionalFormatting>
  <conditionalFormatting sqref="E16:I16">
    <cfRule type="cellIs" dxfId="4" priority="1" operator="lessThan">
      <formula>0</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rgb="FF00EC54"/>
  </sheetPr>
  <dimension ref="B1:I29"/>
  <sheetViews>
    <sheetView showGridLines="0" topLeftCell="E1" zoomScaleNormal="100" workbookViewId="0">
      <pane ySplit="1" topLeftCell="A18" activePane="bottomLeft" state="frozen"/>
      <selection pane="bottomLeft" activeCell="F23" sqref="F23"/>
    </sheetView>
  </sheetViews>
  <sheetFormatPr baseColWidth="10" defaultColWidth="11.453125" defaultRowHeight="14.5" x14ac:dyDescent="0.35"/>
  <cols>
    <col min="1" max="1" width="18" style="36" customWidth="1"/>
    <col min="2" max="2" width="6.7265625" style="36" customWidth="1"/>
    <col min="3" max="3" width="45.26953125" style="36" customWidth="1"/>
    <col min="4" max="4" width="16.81640625" style="36" customWidth="1"/>
    <col min="5" max="5" width="17.1796875" style="36" customWidth="1"/>
    <col min="6" max="6" width="16.81640625" style="36" customWidth="1"/>
    <col min="7" max="9" width="16.26953125" style="36" bestFit="1" customWidth="1"/>
    <col min="10" max="10" width="15.453125" style="36" bestFit="1" customWidth="1"/>
    <col min="11" max="11" width="20.1796875" style="36" bestFit="1" customWidth="1"/>
    <col min="12" max="12" width="22" style="36" bestFit="1" customWidth="1"/>
    <col min="13" max="13" width="15.1796875" style="36" bestFit="1" customWidth="1"/>
    <col min="14" max="14" width="12.453125" style="36" bestFit="1" customWidth="1"/>
    <col min="15" max="15" width="23.81640625" style="36" bestFit="1" customWidth="1"/>
    <col min="16" max="16" width="22" style="36" bestFit="1" customWidth="1"/>
    <col min="17" max="17" width="18.7265625" style="36" bestFit="1" customWidth="1"/>
    <col min="18" max="18" width="15.453125" style="36" bestFit="1" customWidth="1"/>
    <col min="19" max="19" width="25.453125" style="36" bestFit="1" customWidth="1"/>
    <col min="20" max="20" width="18.7265625" style="36" bestFit="1" customWidth="1"/>
    <col min="21" max="21" width="15.1796875" style="36" bestFit="1" customWidth="1"/>
    <col min="22" max="22" width="11.453125" style="36" customWidth="1"/>
    <col min="23" max="23" width="12.453125" style="36" bestFit="1" customWidth="1"/>
    <col min="24" max="24" width="18.26953125" style="36" bestFit="1" customWidth="1"/>
    <col min="25" max="25" width="15.1796875" style="36" bestFit="1" customWidth="1"/>
    <col min="26" max="16384" width="11.453125" style="36"/>
  </cols>
  <sheetData>
    <row r="1" spans="2:9" customFormat="1" ht="58.5" customHeight="1" x14ac:dyDescent="0.35"/>
    <row r="4" spans="2:9" customFormat="1" x14ac:dyDescent="0.35"/>
    <row r="5" spans="2:9" customFormat="1" x14ac:dyDescent="0.35">
      <c r="C5" s="84"/>
      <c r="D5" s="124" t="s">
        <v>62</v>
      </c>
      <c r="E5" s="86" t="s">
        <v>51</v>
      </c>
      <c r="F5" s="124" t="s">
        <v>52</v>
      </c>
      <c r="G5" s="86" t="s">
        <v>53</v>
      </c>
      <c r="H5" s="124" t="s">
        <v>54</v>
      </c>
      <c r="I5" s="86" t="s">
        <v>55</v>
      </c>
    </row>
    <row r="6" spans="2:9" customFormat="1" x14ac:dyDescent="0.35">
      <c r="C6" s="40" t="s">
        <v>4</v>
      </c>
      <c r="D6" s="125">
        <f>Base!H11</f>
        <v>1.4500000000000001E-2</v>
      </c>
      <c r="E6" s="29">
        <f>Base!H12</f>
        <v>3.5999999999999997E-2</v>
      </c>
      <c r="F6" s="125">
        <f>Base!H13</f>
        <v>3.2000000000000001E-2</v>
      </c>
      <c r="G6" s="29">
        <f>Base!H14</f>
        <v>0.03</v>
      </c>
      <c r="H6" s="125">
        <f>Base!H15</f>
        <v>0.03</v>
      </c>
      <c r="I6" s="29">
        <f>Base!H16</f>
        <v>0.03</v>
      </c>
    </row>
    <row r="7" spans="2:9" customFormat="1" x14ac:dyDescent="0.35">
      <c r="C7" s="40" t="s">
        <v>26</v>
      </c>
      <c r="D7" s="125">
        <f>Base!I11</f>
        <v>0.1</v>
      </c>
      <c r="E7" s="29">
        <f>Base!I12</f>
        <v>0.1</v>
      </c>
      <c r="F7" s="125">
        <f>Base!I13</f>
        <v>0.1</v>
      </c>
      <c r="G7" s="29">
        <f>Base!I14</f>
        <v>0.1</v>
      </c>
      <c r="H7" s="125">
        <f>Base!I15</f>
        <v>0.1</v>
      </c>
      <c r="I7" s="29">
        <f>Base!I16</f>
        <v>0.1</v>
      </c>
    </row>
    <row r="8" spans="2:9" customFormat="1" x14ac:dyDescent="0.35">
      <c r="C8" s="40"/>
      <c r="D8" s="126"/>
      <c r="E8" s="6"/>
      <c r="F8" s="126"/>
      <c r="G8" s="6"/>
      <c r="H8" s="126"/>
      <c r="I8" s="6"/>
    </row>
    <row r="9" spans="2:9" customFormat="1" x14ac:dyDescent="0.35">
      <c r="C9" s="101" t="s">
        <v>21</v>
      </c>
      <c r="D9" s="127">
        <f>Base!D19</f>
        <v>115894320</v>
      </c>
      <c r="E9" s="102">
        <f>D9*(1+E7)*(1+E6)</f>
        <v>132073167.07200003</v>
      </c>
      <c r="F9" s="127">
        <f>E9*(1+F7)*(1+F6)</f>
        <v>149929459.26013446</v>
      </c>
      <c r="G9" s="102">
        <f>F9*(1+G7)*(1+G6)</f>
        <v>169870077.34173238</v>
      </c>
      <c r="H9" s="127">
        <f>G9*(1+H7)*(1+H6)</f>
        <v>192462797.62818283</v>
      </c>
      <c r="I9" s="102">
        <f>H9*(1+I7)*(1+I6)</f>
        <v>218060349.71273118</v>
      </c>
    </row>
    <row r="10" spans="2:9" customFormat="1" x14ac:dyDescent="0.35">
      <c r="C10" s="40"/>
      <c r="D10" s="36"/>
      <c r="F10" s="36"/>
      <c r="H10" s="36"/>
    </row>
    <row r="11" spans="2:9" customFormat="1" x14ac:dyDescent="0.35">
      <c r="C11" s="103" t="s">
        <v>6</v>
      </c>
      <c r="D11" s="128">
        <f>D16+D12</f>
        <v>101766106.88</v>
      </c>
      <c r="E11" s="104">
        <f>E12+E16</f>
        <v>107464626.93568</v>
      </c>
      <c r="F11" s="128">
        <f>F12+F16*(1+F6)</f>
        <v>113583058.05294338</v>
      </c>
      <c r="G11" s="104">
        <f>G12+G16*(1+G6)</f>
        <v>119584065.95346546</v>
      </c>
      <c r="H11" s="128">
        <f>H12+H16*(1+H6)</f>
        <v>126136991.83749898</v>
      </c>
      <c r="I11" s="104">
        <f>I12+I16*(1+I6)</f>
        <v>133280904.21747561</v>
      </c>
    </row>
    <row r="12" spans="2:9" customFormat="1" x14ac:dyDescent="0.35">
      <c r="C12" s="105" t="s">
        <v>57</v>
      </c>
      <c r="D12" s="129">
        <f t="shared" ref="D12:I12" si="0">+SUM(D13:D15)</f>
        <v>90966106.879999995</v>
      </c>
      <c r="E12" s="106">
        <f t="shared" si="0"/>
        <v>96275826.935680002</v>
      </c>
      <c r="F12" s="129">
        <f t="shared" si="0"/>
        <v>101666717.52174337</v>
      </c>
      <c r="G12" s="106">
        <f t="shared" si="0"/>
        <v>107334021.70002545</v>
      </c>
      <c r="H12" s="129">
        <f t="shared" si="0"/>
        <v>113519446.25645578</v>
      </c>
      <c r="I12" s="106">
        <f t="shared" si="0"/>
        <v>120284832.26900111</v>
      </c>
    </row>
    <row r="13" spans="2:9" customFormat="1" x14ac:dyDescent="0.35">
      <c r="B13" s="132" t="s">
        <v>29</v>
      </c>
      <c r="C13" s="100" t="s">
        <v>9</v>
      </c>
      <c r="D13" s="117">
        <f>+Base!F35</f>
        <v>71323826.879999995</v>
      </c>
      <c r="E13" s="2">
        <f>D13*(1+E6)</f>
        <v>73891484.647679999</v>
      </c>
      <c r="F13" s="117">
        <f>E13*(1+F6)</f>
        <v>76256012.156405762</v>
      </c>
      <c r="G13" s="2">
        <f>F13*(1+G6)</f>
        <v>78543692.521097943</v>
      </c>
      <c r="H13" s="117">
        <f>G13*(1+H6)</f>
        <v>80900003.296730891</v>
      </c>
      <c r="I13" s="2">
        <f>H13*(1+I6)</f>
        <v>83327003.395632818</v>
      </c>
    </row>
    <row r="14" spans="2:9" customFormat="1" x14ac:dyDescent="0.35">
      <c r="B14" s="132" t="s">
        <v>29</v>
      </c>
      <c r="C14" s="100" t="s">
        <v>35</v>
      </c>
      <c r="D14" s="117">
        <f>Base!F48</f>
        <v>0</v>
      </c>
      <c r="E14" s="2">
        <f>D14*(1+E6)</f>
        <v>0</v>
      </c>
      <c r="F14" s="117">
        <f>E14*(1+F6)</f>
        <v>0</v>
      </c>
      <c r="G14" s="2">
        <f>F14*(1+G6)</f>
        <v>0</v>
      </c>
      <c r="H14" s="117">
        <f>G14*(1+H6)</f>
        <v>0</v>
      </c>
      <c r="I14" s="2">
        <f>H14*(1+I6)</f>
        <v>0</v>
      </c>
    </row>
    <row r="15" spans="2:9" customFormat="1" x14ac:dyDescent="0.35">
      <c r="B15" s="132" t="s">
        <v>29</v>
      </c>
      <c r="C15" s="100" t="s">
        <v>36</v>
      </c>
      <c r="D15" s="117">
        <f>Base!F42</f>
        <v>19642280</v>
      </c>
      <c r="E15" s="2">
        <f>D15*(1+E6)*(1+E7)</f>
        <v>22384342.288000003</v>
      </c>
      <c r="F15" s="117">
        <f>E15*(1+F6)*(1+F7)</f>
        <v>25410705.365337607</v>
      </c>
      <c r="G15" s="2">
        <f>F15*(1+G6)*(1+G7)</f>
        <v>28790329.178927515</v>
      </c>
      <c r="H15" s="117">
        <f>G15*(1+H6)*(1+H7)</f>
        <v>32619442.959724881</v>
      </c>
      <c r="I15" s="2">
        <f>H15*(1+I6)*(1+I7)</f>
        <v>36957828.873368293</v>
      </c>
    </row>
    <row r="16" spans="2:9" customFormat="1" x14ac:dyDescent="0.35">
      <c r="B16" s="133"/>
      <c r="C16" s="103" t="s">
        <v>7</v>
      </c>
      <c r="D16" s="128">
        <f t="shared" ref="D16:I16" si="1">+D17</f>
        <v>10800000</v>
      </c>
      <c r="E16" s="104">
        <f t="shared" si="1"/>
        <v>11188800</v>
      </c>
      <c r="F16" s="128">
        <f t="shared" si="1"/>
        <v>11546841.6</v>
      </c>
      <c r="G16" s="104">
        <f t="shared" si="1"/>
        <v>11893246.847999999</v>
      </c>
      <c r="H16" s="128">
        <f t="shared" si="1"/>
        <v>12250044.25344</v>
      </c>
      <c r="I16" s="104">
        <f t="shared" si="1"/>
        <v>12617545.581043201</v>
      </c>
    </row>
    <row r="17" spans="2:9" customFormat="1" x14ac:dyDescent="0.35">
      <c r="B17" s="134"/>
      <c r="C17" s="105" t="s">
        <v>31</v>
      </c>
      <c r="D17" s="129">
        <f t="shared" ref="D17:I17" si="2">SUM(D18:D20)</f>
        <v>10800000</v>
      </c>
      <c r="E17" s="106">
        <f t="shared" si="2"/>
        <v>11188800</v>
      </c>
      <c r="F17" s="129">
        <f t="shared" si="2"/>
        <v>11546841.6</v>
      </c>
      <c r="G17" s="106">
        <f t="shared" si="2"/>
        <v>11893246.847999999</v>
      </c>
      <c r="H17" s="129">
        <f t="shared" si="2"/>
        <v>12250044.25344</v>
      </c>
      <c r="I17" s="106">
        <f t="shared" si="2"/>
        <v>12617545.581043201</v>
      </c>
    </row>
    <row r="18" spans="2:9" customFormat="1" x14ac:dyDescent="0.35">
      <c r="B18" s="132" t="s">
        <v>29</v>
      </c>
      <c r="C18" s="100" t="s">
        <v>32</v>
      </c>
      <c r="D18" s="117">
        <f>Base!F57</f>
        <v>0</v>
      </c>
      <c r="E18" s="2">
        <f>D18*(1+E6)</f>
        <v>0</v>
      </c>
      <c r="F18" s="117">
        <f>E18*(1+F6)</f>
        <v>0</v>
      </c>
      <c r="G18" s="2">
        <f>F18*(1+G6)</f>
        <v>0</v>
      </c>
      <c r="H18" s="117">
        <f>G18*(1+H6)</f>
        <v>0</v>
      </c>
      <c r="I18" s="2">
        <f>H18*(1+I6)</f>
        <v>0</v>
      </c>
    </row>
    <row r="19" spans="2:9" customFormat="1" x14ac:dyDescent="0.35">
      <c r="B19" s="135" t="s">
        <v>29</v>
      </c>
      <c r="C19" s="100" t="s">
        <v>33</v>
      </c>
      <c r="D19" s="117">
        <f>Base!F62</f>
        <v>0</v>
      </c>
      <c r="E19" s="2">
        <f>D19*(1+E6)</f>
        <v>0</v>
      </c>
      <c r="F19" s="117">
        <f>E19*(1+F6)</f>
        <v>0</v>
      </c>
      <c r="G19" s="2">
        <f>F19*(1+G6)</f>
        <v>0</v>
      </c>
      <c r="H19" s="117">
        <f>G19*(1+H6)</f>
        <v>0</v>
      </c>
      <c r="I19" s="2">
        <f>H19*(1+I6)</f>
        <v>0</v>
      </c>
    </row>
    <row r="20" spans="2:9" customFormat="1" ht="29" x14ac:dyDescent="0.35">
      <c r="B20" s="132" t="s">
        <v>29</v>
      </c>
      <c r="C20" s="100" t="s">
        <v>34</v>
      </c>
      <c r="D20" s="117">
        <f>Base!F67</f>
        <v>10800000</v>
      </c>
      <c r="E20" s="2">
        <f>D20*(1+E6)</f>
        <v>11188800</v>
      </c>
      <c r="F20" s="117">
        <f>E20*(1+F6)</f>
        <v>11546841.6</v>
      </c>
      <c r="G20" s="2">
        <f>F20*(1+G6)</f>
        <v>11893246.847999999</v>
      </c>
      <c r="H20" s="117">
        <f>G20*(1+H6)</f>
        <v>12250044.25344</v>
      </c>
      <c r="I20" s="2">
        <f>H20*(1+I6)</f>
        <v>12617545.581043201</v>
      </c>
    </row>
    <row r="21" spans="2:9" customFormat="1" x14ac:dyDescent="0.35">
      <c r="C21" s="103" t="s">
        <v>74</v>
      </c>
      <c r="D21" s="130">
        <f>Base!$F$84</f>
        <v>2868000</v>
      </c>
      <c r="E21" s="108">
        <f>Base!$F$84</f>
        <v>2868000</v>
      </c>
      <c r="F21" s="130">
        <f>Base!$F$84</f>
        <v>2868000</v>
      </c>
      <c r="G21" s="108">
        <f>Base!$F$84</f>
        <v>2868000</v>
      </c>
      <c r="H21" s="130">
        <f>Base!$F$84</f>
        <v>2868000</v>
      </c>
      <c r="I21" s="108">
        <f>Base!$F$84</f>
        <v>2868000</v>
      </c>
    </row>
    <row r="22" spans="2:9" customFormat="1" x14ac:dyDescent="0.35">
      <c r="C22" s="105" t="s">
        <v>56</v>
      </c>
      <c r="D22" s="129">
        <f t="shared" ref="D22:I22" si="3">D9-D11-D21</f>
        <v>11260213.120000005</v>
      </c>
      <c r="E22" s="106">
        <f t="shared" si="3"/>
        <v>21740540.136320025</v>
      </c>
      <c r="F22" s="129">
        <f t="shared" si="3"/>
        <v>33478401.20719108</v>
      </c>
      <c r="G22" s="106">
        <f t="shared" si="3"/>
        <v>47418011.388266921</v>
      </c>
      <c r="H22" s="129">
        <f t="shared" si="3"/>
        <v>63457805.790683851</v>
      </c>
      <c r="I22" s="106">
        <f t="shared" si="3"/>
        <v>81911445.495255575</v>
      </c>
    </row>
    <row r="23" spans="2:9" customFormat="1" x14ac:dyDescent="0.35">
      <c r="C23" s="41" t="s">
        <v>8</v>
      </c>
      <c r="D23" s="116">
        <f>IF(D22&gt;0,D22*32%,0)</f>
        <v>3603268.1984000015</v>
      </c>
      <c r="E23" s="32">
        <f>IF(E22&gt;0,E22*31%,0)</f>
        <v>6739567.4422592074</v>
      </c>
      <c r="F23" s="116">
        <f>IF(F22&gt;0,F22*30%,0)</f>
        <v>10043520.362157324</v>
      </c>
      <c r="G23" s="32">
        <f>IF(G22&gt;0,G22*30%,0)</f>
        <v>14225403.416480076</v>
      </c>
      <c r="H23" s="116">
        <f>IF(H22&gt;0,H22*30%,0)</f>
        <v>19037341.737205155</v>
      </c>
      <c r="I23" s="32">
        <f>IF(I22&gt;0,I22*30%,0)</f>
        <v>24573433.648576673</v>
      </c>
    </row>
    <row r="24" spans="2:9" customFormat="1" x14ac:dyDescent="0.35">
      <c r="C24" s="109" t="s">
        <v>30</v>
      </c>
      <c r="D24" s="131">
        <f t="shared" ref="D24:I24" si="4">D22-D23</f>
        <v>7656944.9216000028</v>
      </c>
      <c r="E24" s="110">
        <f t="shared" si="4"/>
        <v>15000972.694060817</v>
      </c>
      <c r="F24" s="131">
        <f t="shared" si="4"/>
        <v>23434880.845033757</v>
      </c>
      <c r="G24" s="110">
        <f t="shared" si="4"/>
        <v>33192607.971786845</v>
      </c>
      <c r="H24" s="131">
        <f t="shared" si="4"/>
        <v>44420464.053478695</v>
      </c>
      <c r="I24" s="110">
        <f t="shared" si="4"/>
        <v>57338011.846678898</v>
      </c>
    </row>
    <row r="25" spans="2:9" customFormat="1" x14ac:dyDescent="0.35">
      <c r="B25" s="1"/>
      <c r="C25" s="1"/>
      <c r="D25" s="7"/>
    </row>
    <row r="26" spans="2:9" x14ac:dyDescent="0.35">
      <c r="E26" s="138"/>
      <c r="F26" s="138"/>
      <c r="G26" s="138"/>
      <c r="H26" s="138"/>
      <c r="I26" s="138"/>
    </row>
    <row r="27" spans="2:9" ht="30" customHeight="1" x14ac:dyDescent="0.35">
      <c r="C27" s="139"/>
      <c r="E27" s="117"/>
    </row>
    <row r="28" spans="2:9" x14ac:dyDescent="0.35">
      <c r="C28" s="140"/>
      <c r="D28" s="138"/>
    </row>
    <row r="29" spans="2:9" x14ac:dyDescent="0.35">
      <c r="C29" s="140"/>
      <c r="E29" s="97"/>
    </row>
  </sheetData>
  <sheetProtection algorithmName="SHA-512" hashValue="toSHWXeZIAAwT4tdCc/u/QBOMC16Z/1f94Kv9CESHvviZkET9yfRn/YxPYxGvHw7mETuEun2NSoLrwbuT5hx4w==" saltValue="kYRv3Y4YDWcYN4rtDXGhdw==" spinCount="100000" sheet="1" formatCells="0" formatColumns="0" formatRows="0" insertColumns="0" insertRows="0" insertHyperlinks="0" deleteColumns="0" deleteRows="0" autoFilter="0" pivotTables="0"/>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0797-85D0-48C9-BC95-83266D70F16D}">
  <sheetPr codeName="Hoja1">
    <tabColor rgb="FF00EC54"/>
  </sheetPr>
  <dimension ref="B4:L58"/>
  <sheetViews>
    <sheetView workbookViewId="0">
      <selection activeCell="G11" sqref="G11"/>
    </sheetView>
  </sheetViews>
  <sheetFormatPr baseColWidth="10" defaultRowHeight="14.5" x14ac:dyDescent="0.35"/>
  <cols>
    <col min="2" max="2" width="30.81640625" bestFit="1" customWidth="1"/>
    <col min="3" max="3" width="12.54296875" customWidth="1"/>
    <col min="4" max="4" width="15.1796875" customWidth="1"/>
    <col min="5" max="9" width="14.1796875" bestFit="1" customWidth="1"/>
    <col min="10" max="10" width="12.453125" customWidth="1"/>
    <col min="11" max="11" width="12.81640625" customWidth="1"/>
    <col min="12" max="12" width="12.7265625" bestFit="1" customWidth="1"/>
  </cols>
  <sheetData>
    <row r="4" spans="2:12" x14ac:dyDescent="0.35">
      <c r="B4" s="342" t="s">
        <v>406</v>
      </c>
      <c r="C4" s="342"/>
      <c r="D4" s="342"/>
      <c r="E4" s="342"/>
      <c r="F4" s="342"/>
      <c r="G4" s="342"/>
      <c r="H4" s="342"/>
    </row>
    <row r="5" spans="2:12" x14ac:dyDescent="0.35">
      <c r="B5" s="124"/>
      <c r="C5" s="124" t="s">
        <v>62</v>
      </c>
      <c r="D5" s="86" t="s">
        <v>51</v>
      </c>
      <c r="E5" s="124" t="s">
        <v>52</v>
      </c>
      <c r="F5" s="86" t="s">
        <v>53</v>
      </c>
      <c r="G5" s="124" t="s">
        <v>54</v>
      </c>
      <c r="H5" s="86" t="s">
        <v>55</v>
      </c>
    </row>
    <row r="6" spans="2:12" x14ac:dyDescent="0.35">
      <c r="B6" s="40"/>
      <c r="C6" s="125"/>
      <c r="D6" s="29"/>
      <c r="E6" s="125"/>
      <c r="F6" s="29"/>
      <c r="G6" s="125"/>
      <c r="H6" s="29"/>
    </row>
    <row r="7" spans="2:12" x14ac:dyDescent="0.35">
      <c r="B7" t="s">
        <v>391</v>
      </c>
    </row>
    <row r="8" spans="2:12" x14ac:dyDescent="0.35">
      <c r="B8" s="8" t="s">
        <v>398</v>
      </c>
    </row>
    <row r="9" spans="2:12" x14ac:dyDescent="0.35">
      <c r="B9" t="s">
        <v>388</v>
      </c>
      <c r="C9" s="118">
        <f>+'Proyección FCL'!D16</f>
        <v>-30711283.985066663</v>
      </c>
      <c r="D9" s="118">
        <f>+'Proyección FCL'!E16</f>
        <v>14730021.510754146</v>
      </c>
      <c r="E9" s="118">
        <f>+'Proyección FCL'!F16</f>
        <v>22877591.264839403</v>
      </c>
      <c r="F9" s="118">
        <f>+'Proyección FCL'!G16</f>
        <v>32264896.276663683</v>
      </c>
      <c r="G9" s="118">
        <f>+'Proyección FCL'!H16</f>
        <v>43007558.626034431</v>
      </c>
      <c r="H9" s="118">
        <f>+'Proyección FCL'!I16</f>
        <v>55375970.998208724</v>
      </c>
    </row>
    <row r="10" spans="2:12" x14ac:dyDescent="0.35">
      <c r="B10" t="s">
        <v>38</v>
      </c>
      <c r="C10" s="122">
        <f>+'Proyección FCL'!D24</f>
        <v>19315720</v>
      </c>
      <c r="D10" s="122">
        <f>+'Proyección FCL'!E24</f>
        <v>22012194.512000002</v>
      </c>
      <c r="E10" s="122">
        <f>+'Proyección FCL'!F24</f>
        <v>24988243.210022409</v>
      </c>
      <c r="F10" s="122">
        <f>+'Proyección FCL'!G24</f>
        <v>28311679.556955397</v>
      </c>
      <c r="G10" s="122">
        <f>+'Proyección FCL'!H24</f>
        <v>32077132.93803047</v>
      </c>
      <c r="H10" s="122">
        <f>+'Proyección FCL'!I24</f>
        <v>36343391.618788525</v>
      </c>
      <c r="L10" s="280"/>
    </row>
    <row r="11" spans="2:12" x14ac:dyDescent="0.35">
      <c r="B11" t="s">
        <v>389</v>
      </c>
      <c r="C11" s="122">
        <f>+C10*10%</f>
        <v>1931572</v>
      </c>
      <c r="D11" s="122">
        <f t="shared" ref="D11:H11" si="0">+D10*10%</f>
        <v>2201219.4512000005</v>
      </c>
      <c r="E11" s="122">
        <f t="shared" si="0"/>
        <v>2498824.3210022408</v>
      </c>
      <c r="F11" s="122">
        <f t="shared" si="0"/>
        <v>2831167.9556955397</v>
      </c>
      <c r="G11" s="122">
        <f t="shared" si="0"/>
        <v>3207713.2938030474</v>
      </c>
      <c r="H11" s="122">
        <f t="shared" si="0"/>
        <v>3634339.1618788526</v>
      </c>
    </row>
    <row r="12" spans="2:12" x14ac:dyDescent="0.35">
      <c r="B12" t="s">
        <v>36</v>
      </c>
      <c r="C12" s="122">
        <f>+'Proyección P&amp;G'!D15</f>
        <v>19642280</v>
      </c>
      <c r="D12" s="122">
        <f>+'Proyección P&amp;G'!E15</f>
        <v>22384342.288000003</v>
      </c>
      <c r="E12" s="122">
        <f>+'Proyección P&amp;G'!F15</f>
        <v>25410705.365337607</v>
      </c>
      <c r="F12" s="122">
        <f>+'Proyección P&amp;G'!G15</f>
        <v>28790329.178927515</v>
      </c>
      <c r="G12" s="122">
        <f>+'Proyección P&amp;G'!H15</f>
        <v>32619442.959724881</v>
      </c>
      <c r="H12" s="122">
        <f>+'Proyección P&amp;G'!I15</f>
        <v>36957828.873368293</v>
      </c>
    </row>
    <row r="13" spans="2:12" x14ac:dyDescent="0.35">
      <c r="B13" s="8" t="s">
        <v>390</v>
      </c>
      <c r="C13" s="118">
        <f>SUM(C9:C12)</f>
        <v>10178288.014933337</v>
      </c>
      <c r="D13" s="118">
        <f t="shared" ref="D13:H13" si="1">SUM(D9:D12)</f>
        <v>61327777.761954151</v>
      </c>
      <c r="E13" s="118">
        <f t="shared" si="1"/>
        <v>75775364.161201656</v>
      </c>
      <c r="F13" s="118">
        <f t="shared" si="1"/>
        <v>92198072.968242139</v>
      </c>
      <c r="G13" s="118">
        <f t="shared" si="1"/>
        <v>110911847.81759283</v>
      </c>
      <c r="H13" s="118">
        <f t="shared" si="1"/>
        <v>132311530.65224439</v>
      </c>
    </row>
    <row r="15" spans="2:12" x14ac:dyDescent="0.35">
      <c r="B15" s="8" t="s">
        <v>395</v>
      </c>
    </row>
    <row r="16" spans="2:12" x14ac:dyDescent="0.35">
      <c r="B16" t="s">
        <v>43</v>
      </c>
      <c r="C16" s="122">
        <f>+Base!D80</f>
        <v>2000000</v>
      </c>
      <c r="D16" s="122">
        <f>+C16</f>
        <v>2000000</v>
      </c>
      <c r="E16" s="122">
        <f t="shared" ref="E16:H16" si="2">+D16</f>
        <v>2000000</v>
      </c>
      <c r="F16" s="122">
        <f t="shared" si="2"/>
        <v>2000000</v>
      </c>
      <c r="G16" s="122">
        <f t="shared" si="2"/>
        <v>2000000</v>
      </c>
      <c r="H16" s="122">
        <f t="shared" si="2"/>
        <v>2000000</v>
      </c>
    </row>
    <row r="17" spans="2:8" x14ac:dyDescent="0.35">
      <c r="B17" t="s">
        <v>46</v>
      </c>
      <c r="C17" s="122">
        <f>+Base!D82</f>
        <v>5000000</v>
      </c>
      <c r="D17" s="122">
        <f>+C17</f>
        <v>5000000</v>
      </c>
      <c r="E17" s="122">
        <f t="shared" ref="E17:H17" si="3">+D17</f>
        <v>5000000</v>
      </c>
      <c r="F17" s="122">
        <f t="shared" si="3"/>
        <v>5000000</v>
      </c>
      <c r="G17" s="122">
        <f t="shared" si="3"/>
        <v>5000000</v>
      </c>
      <c r="H17" s="122">
        <f t="shared" si="3"/>
        <v>5000000</v>
      </c>
    </row>
    <row r="18" spans="2:8" x14ac:dyDescent="0.35">
      <c r="B18" t="s">
        <v>292</v>
      </c>
      <c r="C18" s="122">
        <f>+Base!D83</f>
        <v>7340000</v>
      </c>
      <c r="D18" s="122">
        <f>+C18</f>
        <v>7340000</v>
      </c>
      <c r="E18" s="122">
        <f t="shared" ref="E18:H18" si="4">+D18</f>
        <v>7340000</v>
      </c>
      <c r="F18" s="122">
        <f t="shared" si="4"/>
        <v>7340000</v>
      </c>
      <c r="G18" s="122">
        <f t="shared" si="4"/>
        <v>7340000</v>
      </c>
      <c r="H18" s="122">
        <f t="shared" si="4"/>
        <v>7340000</v>
      </c>
    </row>
    <row r="19" spans="2:8" x14ac:dyDescent="0.35">
      <c r="B19" t="s">
        <v>396</v>
      </c>
      <c r="C19" s="122">
        <f>+'Proyección FCL'!D25</f>
        <v>22741526.719999999</v>
      </c>
      <c r="D19" s="122">
        <f>+'Proyección FCL'!E25</f>
        <v>24068956.73392</v>
      </c>
      <c r="E19" s="122">
        <f>+'Proyección FCL'!F25</f>
        <v>25416679.380435843</v>
      </c>
      <c r="F19" s="122">
        <f>+'Proyección FCL'!G25</f>
        <v>26833505.425006364</v>
      </c>
      <c r="G19" s="122">
        <f>+'Proyección FCL'!H25</f>
        <v>28379861.564113945</v>
      </c>
      <c r="H19" s="122">
        <f>+'Proyección FCL'!I25</f>
        <v>30071208.067250278</v>
      </c>
    </row>
    <row r="20" spans="2:8" x14ac:dyDescent="0.35">
      <c r="B20" t="s">
        <v>392</v>
      </c>
      <c r="C20" s="122">
        <f>-+'Proyección FCL'!D9</f>
        <v>-2868000</v>
      </c>
      <c r="D20" s="122">
        <f>-+'Proyección FCL'!E9</f>
        <v>-2868000</v>
      </c>
      <c r="E20" s="122">
        <f>-+'Proyección FCL'!F9</f>
        <v>-2868000</v>
      </c>
      <c r="F20" s="122">
        <f>-+'Proyección FCL'!G9</f>
        <v>-2868000</v>
      </c>
      <c r="G20" s="122">
        <f>-+'Proyección FCL'!H9</f>
        <v>-2868000</v>
      </c>
      <c r="H20" s="122">
        <f>-+'Proyección FCL'!I9</f>
        <v>-2868000</v>
      </c>
    </row>
    <row r="21" spans="2:8" x14ac:dyDescent="0.35">
      <c r="B21" s="8" t="s">
        <v>393</v>
      </c>
      <c r="C21" s="267">
        <f t="shared" ref="C21:H21" si="5">SUM(C16:C20)</f>
        <v>34213526.719999999</v>
      </c>
      <c r="D21" s="267">
        <f t="shared" si="5"/>
        <v>35540956.73392</v>
      </c>
      <c r="E21" s="267">
        <f t="shared" si="5"/>
        <v>36888679.380435839</v>
      </c>
      <c r="F21" s="267">
        <f t="shared" si="5"/>
        <v>38305505.42500636</v>
      </c>
      <c r="G21" s="267">
        <f t="shared" si="5"/>
        <v>39851861.564113945</v>
      </c>
      <c r="H21" s="267">
        <f t="shared" si="5"/>
        <v>41543208.067250282</v>
      </c>
    </row>
    <row r="23" spans="2:8" x14ac:dyDescent="0.35">
      <c r="B23" s="8" t="s">
        <v>394</v>
      </c>
      <c r="C23" s="267">
        <f t="shared" ref="C23:H23" si="6">+C13+C21</f>
        <v>44391814.734933332</v>
      </c>
      <c r="D23" s="267">
        <f t="shared" si="6"/>
        <v>96868734.495874152</v>
      </c>
      <c r="E23" s="267">
        <f t="shared" si="6"/>
        <v>112664043.5416375</v>
      </c>
      <c r="F23" s="267">
        <f t="shared" si="6"/>
        <v>130503578.3932485</v>
      </c>
      <c r="G23" s="267">
        <f t="shared" si="6"/>
        <v>150763709.38170677</v>
      </c>
      <c r="H23" s="267">
        <f t="shared" si="6"/>
        <v>173854738.71949467</v>
      </c>
    </row>
    <row r="25" spans="2:8" x14ac:dyDescent="0.35">
      <c r="B25" s="8" t="s">
        <v>397</v>
      </c>
    </row>
    <row r="26" spans="2:8" x14ac:dyDescent="0.35">
      <c r="B26" s="8" t="s">
        <v>398</v>
      </c>
    </row>
    <row r="27" spans="2:8" x14ac:dyDescent="0.35">
      <c r="B27" t="s">
        <v>80</v>
      </c>
      <c r="C27" s="117">
        <f>+'Proyección FCL'!D26</f>
        <v>15161017.813333333</v>
      </c>
      <c r="D27" s="117">
        <f>+'Proyección FCL'!E26</f>
        <v>16045971.155946666</v>
      </c>
      <c r="E27" s="117">
        <f>+'Proyección FCL'!F26</f>
        <v>16944452.92029056</v>
      </c>
      <c r="F27" s="117">
        <f>+'Proyección FCL'!G26</f>
        <v>17889003.616670907</v>
      </c>
      <c r="G27" s="117">
        <f>+'Proyección FCL'!H26</f>
        <v>18919907.709409297</v>
      </c>
      <c r="H27" s="117">
        <f>+'Proyección FCL'!I26</f>
        <v>20047472.044833519</v>
      </c>
    </row>
    <row r="28" spans="2:8" x14ac:dyDescent="0.35">
      <c r="B28" t="s">
        <v>399</v>
      </c>
      <c r="C28" s="117">
        <f>+'Proyección FCL'!D12</f>
        <v>3603268.1984000015</v>
      </c>
      <c r="D28" s="117">
        <f>+'Proyección FCL'!E12</f>
        <v>6739567.4422592074</v>
      </c>
      <c r="E28" s="117">
        <f>+'Proyección FCL'!F12</f>
        <v>10043520.362157324</v>
      </c>
      <c r="F28" s="117">
        <f>+'Proyección FCL'!G12</f>
        <v>14225403.416480076</v>
      </c>
      <c r="G28" s="117">
        <f>+'Proyección FCL'!H12</f>
        <v>19037341.737205155</v>
      </c>
      <c r="H28" s="117">
        <f>+'Proyección FCL'!I12</f>
        <v>24573433.648576673</v>
      </c>
    </row>
    <row r="29" spans="2:8" x14ac:dyDescent="0.35">
      <c r="B29" s="8" t="s">
        <v>400</v>
      </c>
      <c r="C29" s="267">
        <f>SUM(C27:C28)</f>
        <v>18764286.011733335</v>
      </c>
      <c r="D29" s="267">
        <f t="shared" ref="D29:H29" si="7">SUM(D27:D28)</f>
        <v>22785538.598205872</v>
      </c>
      <c r="E29" s="267">
        <f t="shared" si="7"/>
        <v>26987973.282447882</v>
      </c>
      <c r="F29" s="267">
        <f t="shared" si="7"/>
        <v>32114407.033150982</v>
      </c>
      <c r="G29" s="267">
        <f t="shared" si="7"/>
        <v>37957249.446614452</v>
      </c>
      <c r="H29" s="267">
        <f t="shared" si="7"/>
        <v>44620905.693410188</v>
      </c>
    </row>
    <row r="31" spans="2:8" x14ac:dyDescent="0.35">
      <c r="B31" s="8" t="s">
        <v>401</v>
      </c>
    </row>
    <row r="32" spans="2:8" x14ac:dyDescent="0.35">
      <c r="B32" t="s">
        <v>402</v>
      </c>
      <c r="C32" s="268">
        <v>17970584</v>
      </c>
      <c r="D32" s="268">
        <v>59082223</v>
      </c>
      <c r="E32" s="268">
        <v>62241189</v>
      </c>
      <c r="F32" s="268">
        <v>65196563</v>
      </c>
      <c r="G32" s="268">
        <v>68385996</v>
      </c>
      <c r="H32" s="268">
        <v>71895821</v>
      </c>
    </row>
    <row r="33" spans="2:9" x14ac:dyDescent="0.35">
      <c r="B33" t="s">
        <v>403</v>
      </c>
      <c r="C33" s="268">
        <f>+'Proyección P&amp;G'!D24</f>
        <v>7656944.9216000028</v>
      </c>
      <c r="D33" s="268">
        <f>+'Proyección P&amp;G'!E24</f>
        <v>15000972.694060817</v>
      </c>
      <c r="E33" s="268">
        <f>+'Proyección P&amp;G'!F24</f>
        <v>23434880.845033757</v>
      </c>
      <c r="F33" s="268">
        <f>+'Proyección P&amp;G'!G24</f>
        <v>33192607.971786845</v>
      </c>
      <c r="G33" s="268">
        <f>+'Proyección P&amp;G'!H24</f>
        <v>44420464.053478695</v>
      </c>
      <c r="H33" s="268">
        <f>+'Proyección P&amp;G'!I24</f>
        <v>57338011.846678898</v>
      </c>
      <c r="I33" s="31"/>
    </row>
    <row r="34" spans="2:9" x14ac:dyDescent="0.35">
      <c r="B34" s="8" t="s">
        <v>405</v>
      </c>
      <c r="C34" s="131">
        <f>SUM(C32:C33)</f>
        <v>25627528.921600003</v>
      </c>
      <c r="D34" s="131">
        <f t="shared" ref="D34:H34" si="8">SUM(D32:D33)</f>
        <v>74083195.694060817</v>
      </c>
      <c r="E34" s="131">
        <f t="shared" si="8"/>
        <v>85676069.845033765</v>
      </c>
      <c r="F34" s="131">
        <f t="shared" si="8"/>
        <v>98389170.971786842</v>
      </c>
      <c r="G34" s="131">
        <f t="shared" si="8"/>
        <v>112806460.05347869</v>
      </c>
      <c r="H34" s="131">
        <f t="shared" si="8"/>
        <v>129233832.8466789</v>
      </c>
    </row>
    <row r="36" spans="2:9" x14ac:dyDescent="0.35">
      <c r="B36" s="8" t="s">
        <v>404</v>
      </c>
      <c r="C36" s="267">
        <f>+C29+C34</f>
        <v>44391814.933333337</v>
      </c>
      <c r="D36" s="267">
        <f t="shared" ref="D36:H36" si="9">+D29+D34</f>
        <v>96868734.292266697</v>
      </c>
      <c r="E36" s="267">
        <f t="shared" si="9"/>
        <v>112664043.12748164</v>
      </c>
      <c r="F36" s="267">
        <f t="shared" si="9"/>
        <v>130503578.00493783</v>
      </c>
      <c r="G36" s="267">
        <f t="shared" si="9"/>
        <v>150763709.50009313</v>
      </c>
      <c r="H36" s="267">
        <f t="shared" si="9"/>
        <v>173854738.54008907</v>
      </c>
    </row>
    <row r="38" spans="2:9" x14ac:dyDescent="0.35">
      <c r="B38" s="281" t="s">
        <v>408</v>
      </c>
      <c r="C38" s="298">
        <f>+'Proyección P&amp;G'!D24/Base!D13</f>
        <v>1.5856400738051706</v>
      </c>
      <c r="D38" t="s">
        <v>458</v>
      </c>
      <c r="E38" s="29"/>
      <c r="F38" s="29"/>
      <c r="G38" s="29"/>
      <c r="H38" s="29"/>
      <c r="I38" s="29"/>
    </row>
    <row r="39" spans="2:9" x14ac:dyDescent="0.35">
      <c r="B39" s="281"/>
      <c r="C39" s="296"/>
      <c r="E39" s="29"/>
      <c r="F39" s="29"/>
      <c r="G39" s="29"/>
      <c r="H39" s="29"/>
      <c r="I39" s="29"/>
    </row>
    <row r="40" spans="2:9" x14ac:dyDescent="0.35">
      <c r="B40" s="297" t="s">
        <v>457</v>
      </c>
      <c r="C40" s="297"/>
      <c r="D40" s="297"/>
      <c r="E40" s="297"/>
      <c r="F40" s="297"/>
      <c r="G40" s="297"/>
      <c r="H40" s="297"/>
      <c r="I40" s="29"/>
    </row>
    <row r="41" spans="2:9" x14ac:dyDescent="0.35">
      <c r="B41" s="297"/>
      <c r="C41" s="297"/>
      <c r="D41" s="297"/>
      <c r="E41" s="297"/>
      <c r="F41" s="297"/>
      <c r="G41" s="297"/>
      <c r="H41" s="297"/>
      <c r="I41" s="29"/>
    </row>
    <row r="42" spans="2:9" x14ac:dyDescent="0.35">
      <c r="B42" s="281" t="s">
        <v>409</v>
      </c>
      <c r="C42" s="283">
        <f>NPV(73%,Resultados!C7:H7)</f>
        <v>30877.085529123244</v>
      </c>
      <c r="G42" s="29"/>
      <c r="H42" s="29"/>
      <c r="I42" s="29"/>
    </row>
    <row r="43" spans="2:9" ht="15" customHeight="1" x14ac:dyDescent="0.35">
      <c r="B43" s="343" t="s">
        <v>460</v>
      </c>
      <c r="C43" s="343"/>
      <c r="D43" s="343"/>
      <c r="E43" s="343"/>
      <c r="F43" s="343"/>
      <c r="G43" s="301"/>
      <c r="H43" s="301"/>
      <c r="I43" s="301"/>
    </row>
    <row r="44" spans="2:9" x14ac:dyDescent="0.35">
      <c r="B44" s="343"/>
      <c r="C44" s="343"/>
      <c r="D44" s="343"/>
      <c r="E44" s="343"/>
      <c r="F44" s="343"/>
      <c r="G44" s="301"/>
      <c r="H44" s="301"/>
      <c r="I44" s="301"/>
    </row>
    <row r="45" spans="2:9" x14ac:dyDescent="0.35">
      <c r="B45" s="343"/>
      <c r="C45" s="343"/>
      <c r="D45" s="343"/>
      <c r="E45" s="343"/>
      <c r="F45" s="343"/>
      <c r="G45" s="301"/>
      <c r="H45" s="301"/>
      <c r="I45" s="301"/>
    </row>
    <row r="46" spans="2:9" x14ac:dyDescent="0.35">
      <c r="B46" s="343"/>
      <c r="C46" s="343"/>
      <c r="D46" s="343"/>
      <c r="E46" s="343"/>
      <c r="F46" s="343"/>
      <c r="G46" s="300"/>
      <c r="H46" s="300"/>
      <c r="I46" s="300"/>
    </row>
    <row r="47" spans="2:9" x14ac:dyDescent="0.35">
      <c r="B47" s="281"/>
      <c r="C47" s="283"/>
      <c r="G47" s="29"/>
      <c r="H47" s="29"/>
      <c r="I47" s="29"/>
    </row>
    <row r="48" spans="2:9" x14ac:dyDescent="0.35">
      <c r="B48" s="284" t="s">
        <v>410</v>
      </c>
      <c r="C48" s="299">
        <f>(('Proyección FCL'!D21-Base!C21)/Base!C21)</f>
        <v>4.6793902246758829</v>
      </c>
      <c r="E48" s="29"/>
      <c r="F48" s="29"/>
      <c r="G48" s="29"/>
      <c r="H48" s="29"/>
      <c r="I48" s="29"/>
    </row>
    <row r="49" spans="2:9" x14ac:dyDescent="0.35">
      <c r="B49" s="281"/>
      <c r="C49" s="282"/>
      <c r="E49" s="29"/>
      <c r="F49" s="29"/>
      <c r="G49" s="29"/>
      <c r="H49" s="29"/>
      <c r="I49" s="29"/>
    </row>
    <row r="50" spans="2:9" ht="15" customHeight="1" x14ac:dyDescent="0.35">
      <c r="B50" s="344" t="s">
        <v>459</v>
      </c>
      <c r="C50" s="344"/>
      <c r="D50" s="344"/>
      <c r="E50" s="344"/>
      <c r="F50" s="344"/>
      <c r="G50" s="262"/>
      <c r="H50" s="262"/>
      <c r="I50" s="262"/>
    </row>
    <row r="51" spans="2:9" x14ac:dyDescent="0.35">
      <c r="B51" s="344"/>
      <c r="C51" s="344"/>
      <c r="D51" s="344"/>
      <c r="E51" s="344"/>
      <c r="F51" s="344"/>
      <c r="G51" s="262"/>
      <c r="H51" s="262"/>
      <c r="I51" s="262"/>
    </row>
    <row r="52" spans="2:9" x14ac:dyDescent="0.35">
      <c r="B52" s="344"/>
      <c r="C52" s="344"/>
      <c r="D52" s="344"/>
      <c r="E52" s="344"/>
      <c r="F52" s="344"/>
      <c r="G52" s="262"/>
      <c r="H52" s="262"/>
      <c r="I52" s="262"/>
    </row>
    <row r="53" spans="2:9" x14ac:dyDescent="0.35">
      <c r="B53" s="344"/>
      <c r="C53" s="344"/>
      <c r="D53" s="344"/>
      <c r="E53" s="344"/>
      <c r="F53" s="344"/>
      <c r="G53" s="262"/>
      <c r="H53" s="262"/>
      <c r="I53" s="262"/>
    </row>
    <row r="54" spans="2:9" x14ac:dyDescent="0.35">
      <c r="B54" s="344"/>
      <c r="C54" s="344"/>
      <c r="D54" s="344"/>
      <c r="E54" s="344"/>
      <c r="F54" s="344"/>
      <c r="G54" s="262"/>
      <c r="H54" s="262"/>
      <c r="I54" s="262"/>
    </row>
    <row r="55" spans="2:9" x14ac:dyDescent="0.35">
      <c r="B55" s="344"/>
      <c r="C55" s="344"/>
      <c r="D55" s="344"/>
      <c r="E55" s="344"/>
      <c r="F55" s="344"/>
    </row>
    <row r="56" spans="2:9" x14ac:dyDescent="0.35">
      <c r="B56" s="285"/>
      <c r="C56" s="285"/>
      <c r="D56" s="285"/>
      <c r="E56" s="285"/>
      <c r="F56" s="285"/>
    </row>
    <row r="57" spans="2:9" x14ac:dyDescent="0.35">
      <c r="B57" s="285"/>
      <c r="C57" s="285"/>
      <c r="D57" s="285"/>
      <c r="E57" s="285"/>
      <c r="F57" s="285"/>
    </row>
    <row r="58" spans="2:9" x14ac:dyDescent="0.35">
      <c r="B58" s="285"/>
      <c r="C58" s="285"/>
      <c r="D58" s="285"/>
      <c r="E58" s="285"/>
      <c r="F58" s="285"/>
    </row>
  </sheetData>
  <mergeCells count="3">
    <mergeCell ref="B4:H4"/>
    <mergeCell ref="B43:F46"/>
    <mergeCell ref="B50:F55"/>
  </mergeCells>
  <conditionalFormatting sqref="C9:H9">
    <cfRule type="cellIs" dxfId="3" priority="2" operator="lessThan">
      <formula>0</formula>
    </cfRule>
  </conditionalFormatting>
  <conditionalFormatting sqref="C13:H13">
    <cfRule type="cellIs" dxfId="2" priority="1" operator="lessThan">
      <formula>0</formula>
    </cfRule>
  </conditionalFormatting>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00EC54"/>
  </sheetPr>
  <dimension ref="A1:H12"/>
  <sheetViews>
    <sheetView showGridLines="0" zoomScaleNormal="100" workbookViewId="0">
      <pane ySplit="1" topLeftCell="A2" activePane="bottomLeft" state="frozen"/>
      <selection pane="bottomLeft" activeCell="D9" sqref="D9"/>
    </sheetView>
  </sheetViews>
  <sheetFormatPr baseColWidth="10" defaultColWidth="11.453125" defaultRowHeight="14.5" x14ac:dyDescent="0.35"/>
  <cols>
    <col min="1" max="1" width="8.1796875" style="36" customWidth="1"/>
    <col min="2" max="2" width="30.81640625" style="36" customWidth="1"/>
    <col min="3" max="8" width="12.54296875" style="36" bestFit="1" customWidth="1"/>
    <col min="9" max="16384" width="11.453125" style="36"/>
  </cols>
  <sheetData>
    <row r="1" spans="1:8" customFormat="1" ht="58.5" customHeight="1" x14ac:dyDescent="0.35">
      <c r="A1" s="39"/>
    </row>
    <row r="3" spans="1:8" s="39" customFormat="1" x14ac:dyDescent="0.35">
      <c r="B3"/>
      <c r="C3"/>
      <c r="D3"/>
      <c r="E3"/>
      <c r="F3"/>
      <c r="G3"/>
      <c r="H3"/>
    </row>
    <row r="4" spans="1:8" s="39" customFormat="1" ht="15" thickBot="1" x14ac:dyDescent="0.4">
      <c r="B4" s="137" t="s">
        <v>65</v>
      </c>
      <c r="C4"/>
      <c r="D4"/>
      <c r="E4"/>
      <c r="F4"/>
      <c r="G4"/>
      <c r="H4"/>
    </row>
    <row r="5" spans="1:8" s="39" customFormat="1" ht="15" thickTop="1" x14ac:dyDescent="0.35">
      <c r="C5" s="38"/>
      <c r="D5" s="38"/>
      <c r="E5" s="38"/>
      <c r="F5" s="38"/>
      <c r="G5" s="38"/>
      <c r="H5" s="38"/>
    </row>
    <row r="6" spans="1:8" s="39" customFormat="1" x14ac:dyDescent="0.35">
      <c r="B6" s="55" t="s">
        <v>27</v>
      </c>
      <c r="C6" s="136" t="str">
        <f>'Proyección FCL'!D6</f>
        <v>Año 0</v>
      </c>
      <c r="D6" s="48" t="str">
        <f>'Proyección FCL'!E6</f>
        <v>Año 1</v>
      </c>
      <c r="E6" s="136" t="str">
        <f>'Proyección FCL'!F6</f>
        <v>Año 2</v>
      </c>
      <c r="F6" s="48" t="str">
        <f>'Proyección FCL'!G6</f>
        <v>Año 3</v>
      </c>
      <c r="G6" s="136" t="str">
        <f>'Proyección FCL'!H6</f>
        <v>Año 4</v>
      </c>
      <c r="H6" s="48" t="str">
        <f>'Proyección FCL'!I6</f>
        <v>Año 5</v>
      </c>
    </row>
    <row r="7" spans="1:8" s="39" customFormat="1" x14ac:dyDescent="0.35">
      <c r="B7" s="51" t="str">
        <f>'Proyección FCL'!C19</f>
        <v>FCL (Flujo de Caja Libre)</v>
      </c>
      <c r="C7" s="117">
        <f>'Proyección FCL'!D19</f>
        <v>-30711283.985066663</v>
      </c>
      <c r="D7" s="45">
        <f>'Proyección FCL'!E19</f>
        <v>14730021.510754146</v>
      </c>
      <c r="E7" s="42">
        <f>'Proyección FCL'!F19</f>
        <v>22877591.264839403</v>
      </c>
      <c r="F7" s="45">
        <f>'Proyección FCL'!G19</f>
        <v>32264896.276663683</v>
      </c>
      <c r="G7" s="42">
        <f>'Proyección FCL'!H19</f>
        <v>43007558.626034431</v>
      </c>
      <c r="H7" s="45">
        <f>'Proyección FCL'!I19</f>
        <v>55375970.998208724</v>
      </c>
    </row>
    <row r="8" spans="1:8" s="39" customFormat="1" x14ac:dyDescent="0.35">
      <c r="B8" s="51" t="str">
        <f>'Proyección FCL'!C20</f>
        <v>TIR (Tasa Interna de Retorno)</v>
      </c>
      <c r="C8" s="43">
        <f>'Proyección FCL'!D20</f>
        <v>0.7311630731668155</v>
      </c>
      <c r="D8" s="46" t="str">
        <f>IF(C8&gt;C10,"VIABLE","INVIABLE")</f>
        <v>VIABLE</v>
      </c>
      <c r="E8" s="49"/>
      <c r="F8" s="46"/>
      <c r="G8" s="49"/>
      <c r="H8" s="46"/>
    </row>
    <row r="9" spans="1:8" s="39" customFormat="1" x14ac:dyDescent="0.35">
      <c r="B9" s="51" t="str">
        <f>'Proyección FCL'!C21</f>
        <v>VPN (Valor Presente Neto)</v>
      </c>
      <c r="C9" s="117">
        <f>'Proyección FCL'!D21</f>
        <v>81442455.821852162</v>
      </c>
      <c r="D9" s="46" t="str">
        <f>IF(C9&gt;0,"VIABLE","INVIABLE")</f>
        <v>VIABLE</v>
      </c>
      <c r="E9" s="49"/>
      <c r="F9" s="46"/>
      <c r="G9" s="49"/>
      <c r="H9" s="46"/>
    </row>
    <row r="10" spans="1:8" s="39" customFormat="1" x14ac:dyDescent="0.35">
      <c r="B10" s="52" t="s">
        <v>66</v>
      </c>
      <c r="C10" s="44">
        <v>0.09</v>
      </c>
      <c r="D10" s="47"/>
      <c r="E10" s="50"/>
      <c r="F10" s="47"/>
      <c r="G10" s="50"/>
      <c r="H10" s="47"/>
    </row>
    <row r="11" spans="1:8" s="39" customFormat="1" x14ac:dyDescent="0.35"/>
    <row r="12" spans="1:8" s="39" customFormat="1" x14ac:dyDescent="0.35"/>
  </sheetData>
  <sheetProtection algorithmName="SHA-512" hashValue="ACyxTF7D2kEIYgfoOzDC9jKubbc8JLH6O84eoV5FQht9xISdwh6yn6eSUIlGplr+ab2nfoL1vxVPh+WOre5HVQ==" saltValue="8kmmjoevQklbcsFzhXqwIQ==" spinCount="100000" sheet="1" formatCells="0" formatColumns="0" formatRows="0" insertColumns="0" insertRows="0" insertHyperlinks="0" deleteColumns="0" deleteRows="0"/>
  <conditionalFormatting sqref="D8">
    <cfRule type="expression" dxfId="1" priority="3">
      <formula>$D$8</formula>
    </cfRule>
  </conditionalFormatting>
  <conditionalFormatting sqref="D9">
    <cfRule type="expression" dxfId="0" priority="1">
      <formula>$D$9</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83740-4A53-4264-B729-116AEFCF6413}">
  <sheetPr codeName="Hoja13">
    <tabColor rgb="FF00EC54"/>
  </sheetPr>
  <dimension ref="A5:H21"/>
  <sheetViews>
    <sheetView topLeftCell="A6" zoomScaleNormal="100" workbookViewId="0">
      <selection activeCell="E13" sqref="E13:E14"/>
    </sheetView>
  </sheetViews>
  <sheetFormatPr baseColWidth="10" defaultRowHeight="14.5" x14ac:dyDescent="0.35"/>
  <cols>
    <col min="1" max="1" width="12.26953125" bestFit="1" customWidth="1"/>
    <col min="2" max="2" width="14" customWidth="1"/>
    <col min="4" max="4" width="19.7265625" bestFit="1" customWidth="1"/>
    <col min="5" max="5" width="23.81640625" customWidth="1"/>
    <col min="6" max="6" width="2.81640625" customWidth="1"/>
    <col min="7" max="7" width="45.81640625" customWidth="1"/>
    <col min="8" max="8" width="45.26953125" customWidth="1"/>
  </cols>
  <sheetData>
    <row r="5" spans="1:8" x14ac:dyDescent="0.35">
      <c r="A5" s="348" t="s">
        <v>456</v>
      </c>
      <c r="B5" s="348"/>
      <c r="C5" s="348"/>
      <c r="D5" s="348"/>
      <c r="E5" s="348"/>
      <c r="F5" s="348"/>
      <c r="G5" s="348"/>
      <c r="H5" s="348"/>
    </row>
    <row r="6" spans="1:8" x14ac:dyDescent="0.35">
      <c r="A6" s="295" t="s">
        <v>411</v>
      </c>
      <c r="B6" s="353" t="s">
        <v>414</v>
      </c>
      <c r="C6" s="353"/>
      <c r="D6" s="353"/>
      <c r="E6" s="353"/>
      <c r="F6" s="353"/>
      <c r="G6" s="353"/>
      <c r="H6" s="353"/>
    </row>
    <row r="7" spans="1:8" ht="34.5" customHeight="1" x14ac:dyDescent="0.35">
      <c r="A7" s="347" t="s">
        <v>412</v>
      </c>
      <c r="B7" s="346" t="s">
        <v>415</v>
      </c>
      <c r="C7" s="346"/>
      <c r="D7" s="346"/>
      <c r="E7" s="346"/>
      <c r="F7" s="346"/>
      <c r="G7" s="346"/>
      <c r="H7" s="346"/>
    </row>
    <row r="8" spans="1:8" x14ac:dyDescent="0.35">
      <c r="A8" s="347"/>
      <c r="B8" s="346"/>
      <c r="C8" s="346"/>
      <c r="D8" s="346"/>
      <c r="E8" s="346"/>
      <c r="F8" s="346"/>
      <c r="G8" s="346"/>
      <c r="H8" s="346"/>
    </row>
    <row r="9" spans="1:8" x14ac:dyDescent="0.35">
      <c r="A9" s="295" t="s">
        <v>413</v>
      </c>
      <c r="B9" s="346" t="s">
        <v>455</v>
      </c>
      <c r="C9" s="346"/>
      <c r="D9" s="346"/>
      <c r="E9" s="346"/>
      <c r="F9" s="346"/>
      <c r="G9" s="346"/>
      <c r="H9" s="346"/>
    </row>
    <row r="10" spans="1:8" x14ac:dyDescent="0.35">
      <c r="B10" s="262"/>
      <c r="C10" s="262"/>
      <c r="D10" s="262"/>
      <c r="E10" s="262"/>
      <c r="F10" s="262"/>
      <c r="G10" s="262"/>
      <c r="H10" s="262"/>
    </row>
    <row r="11" spans="1:8" x14ac:dyDescent="0.35">
      <c r="A11" s="352" t="s">
        <v>416</v>
      </c>
      <c r="B11" s="352"/>
      <c r="C11" s="294" t="s">
        <v>417</v>
      </c>
      <c r="D11" s="294" t="s">
        <v>418</v>
      </c>
      <c r="E11" s="294" t="s">
        <v>419</v>
      </c>
      <c r="F11" s="352" t="s">
        <v>420</v>
      </c>
      <c r="G11" s="352"/>
      <c r="H11" s="294" t="s">
        <v>421</v>
      </c>
    </row>
    <row r="12" spans="1:8" ht="48" customHeight="1" x14ac:dyDescent="0.35">
      <c r="A12" s="351" t="s">
        <v>422</v>
      </c>
      <c r="B12" s="351"/>
      <c r="C12" s="287" t="s">
        <v>432</v>
      </c>
      <c r="D12" s="287" t="s">
        <v>433</v>
      </c>
      <c r="E12" s="292" t="s">
        <v>434</v>
      </c>
      <c r="F12" s="287">
        <v>1</v>
      </c>
      <c r="G12" s="288" t="s">
        <v>442</v>
      </c>
      <c r="H12" s="288" t="s">
        <v>428</v>
      </c>
    </row>
    <row r="13" spans="1:8" ht="79.5" customHeight="1" x14ac:dyDescent="0.35">
      <c r="A13" s="346" t="s">
        <v>441</v>
      </c>
      <c r="B13" s="346"/>
      <c r="C13" s="354" t="s">
        <v>432</v>
      </c>
      <c r="D13" s="354" t="s">
        <v>435</v>
      </c>
      <c r="E13" s="345" t="s">
        <v>434</v>
      </c>
      <c r="F13" s="287">
        <v>1</v>
      </c>
      <c r="G13" s="288" t="s">
        <v>424</v>
      </c>
      <c r="H13" s="288" t="s">
        <v>440</v>
      </c>
    </row>
    <row r="14" spans="1:8" ht="43.5" customHeight="1" x14ac:dyDescent="0.35">
      <c r="A14" s="346"/>
      <c r="B14" s="346"/>
      <c r="C14" s="354"/>
      <c r="D14" s="354"/>
      <c r="E14" s="345"/>
      <c r="F14" s="287">
        <v>2</v>
      </c>
      <c r="G14" s="288" t="s">
        <v>425</v>
      </c>
      <c r="H14" s="289" t="s">
        <v>427</v>
      </c>
    </row>
    <row r="15" spans="1:8" ht="43.5" customHeight="1" x14ac:dyDescent="0.35">
      <c r="A15" s="351" t="s">
        <v>423</v>
      </c>
      <c r="B15" s="353"/>
      <c r="C15" s="287" t="s">
        <v>432</v>
      </c>
      <c r="D15" s="287" t="s">
        <v>433</v>
      </c>
      <c r="E15" s="292" t="s">
        <v>434</v>
      </c>
      <c r="F15" s="287">
        <v>1</v>
      </c>
      <c r="G15" s="288" t="s">
        <v>426</v>
      </c>
      <c r="H15" s="288" t="s">
        <v>443</v>
      </c>
    </row>
    <row r="16" spans="1:8" ht="43.5" customHeight="1" x14ac:dyDescent="0.35">
      <c r="A16" s="346" t="s">
        <v>445</v>
      </c>
      <c r="B16" s="346"/>
      <c r="C16" s="287" t="s">
        <v>436</v>
      </c>
      <c r="D16" s="287" t="s">
        <v>437</v>
      </c>
      <c r="E16" s="291" t="s">
        <v>437</v>
      </c>
      <c r="F16" s="287">
        <v>1</v>
      </c>
      <c r="G16" s="288" t="s">
        <v>446</v>
      </c>
      <c r="H16" s="288" t="s">
        <v>444</v>
      </c>
    </row>
    <row r="17" spans="1:8" ht="66.75" customHeight="1" x14ac:dyDescent="0.35">
      <c r="A17" s="346" t="s">
        <v>447</v>
      </c>
      <c r="B17" s="346"/>
      <c r="C17" s="287" t="s">
        <v>432</v>
      </c>
      <c r="D17" s="287" t="s">
        <v>433</v>
      </c>
      <c r="E17" s="292" t="s">
        <v>434</v>
      </c>
      <c r="F17" s="287">
        <v>1</v>
      </c>
      <c r="G17" s="288" t="s">
        <v>448</v>
      </c>
      <c r="H17" s="288" t="s">
        <v>429</v>
      </c>
    </row>
    <row r="18" spans="1:8" ht="30.75" customHeight="1" x14ac:dyDescent="0.35">
      <c r="A18" s="346" t="s">
        <v>449</v>
      </c>
      <c r="B18" s="346"/>
      <c r="C18" s="354" t="s">
        <v>432</v>
      </c>
      <c r="D18" s="354" t="s">
        <v>439</v>
      </c>
      <c r="E18" s="355" t="s">
        <v>438</v>
      </c>
      <c r="F18" s="287">
        <v>1</v>
      </c>
      <c r="G18" s="290" t="s">
        <v>450</v>
      </c>
      <c r="H18" s="289" t="s">
        <v>452</v>
      </c>
    </row>
    <row r="19" spans="1:8" ht="29" x14ac:dyDescent="0.35">
      <c r="A19" s="346"/>
      <c r="B19" s="346"/>
      <c r="C19" s="354"/>
      <c r="D19" s="354"/>
      <c r="E19" s="355"/>
      <c r="F19" s="287">
        <v>2</v>
      </c>
      <c r="G19" s="290" t="s">
        <v>451</v>
      </c>
      <c r="H19" s="286" t="s">
        <v>453</v>
      </c>
    </row>
    <row r="20" spans="1:8" ht="93.75" customHeight="1" x14ac:dyDescent="0.35">
      <c r="A20" s="346" t="s">
        <v>454</v>
      </c>
      <c r="B20" s="349"/>
      <c r="C20" s="287" t="s">
        <v>417</v>
      </c>
      <c r="D20" s="287" t="s">
        <v>437</v>
      </c>
      <c r="E20" s="293" t="s">
        <v>438</v>
      </c>
      <c r="F20" s="287">
        <v>1</v>
      </c>
      <c r="G20" s="288" t="s">
        <v>430</v>
      </c>
      <c r="H20" s="288" t="s">
        <v>431</v>
      </c>
    </row>
    <row r="21" spans="1:8" x14ac:dyDescent="0.35">
      <c r="A21" s="350"/>
      <c r="B21" s="350"/>
    </row>
  </sheetData>
  <mergeCells count="21">
    <mergeCell ref="A5:H5"/>
    <mergeCell ref="A16:B16"/>
    <mergeCell ref="A20:B20"/>
    <mergeCell ref="A21:B21"/>
    <mergeCell ref="A12:B12"/>
    <mergeCell ref="A11:B11"/>
    <mergeCell ref="A15:B15"/>
    <mergeCell ref="C18:C19"/>
    <mergeCell ref="D18:D19"/>
    <mergeCell ref="E18:E19"/>
    <mergeCell ref="A17:B17"/>
    <mergeCell ref="A18:B19"/>
    <mergeCell ref="F11:G11"/>
    <mergeCell ref="B6:H6"/>
    <mergeCell ref="C13:C14"/>
    <mergeCell ref="D13:D14"/>
    <mergeCell ref="E13:E14"/>
    <mergeCell ref="A13:B14"/>
    <mergeCell ref="B7:H8"/>
    <mergeCell ref="A7:A8"/>
    <mergeCell ref="B9:H9"/>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ED0B-7412-42F5-8BEB-965E3567F8B2}">
  <sheetPr codeName="Hoja7">
    <tabColor rgb="FF00EC54"/>
  </sheetPr>
  <dimension ref="A1:Q21"/>
  <sheetViews>
    <sheetView topLeftCell="A5" zoomScale="80" zoomScaleNormal="80" workbookViewId="0">
      <selection activeCell="I10" sqref="I10:I20"/>
    </sheetView>
  </sheetViews>
  <sheetFormatPr baseColWidth="10" defaultRowHeight="14.5" x14ac:dyDescent="0.35"/>
  <cols>
    <col min="1" max="1" width="24.1796875" bestFit="1" customWidth="1"/>
    <col min="2" max="2" width="7.7265625" bestFit="1" customWidth="1"/>
    <col min="3" max="6" width="5.453125" bestFit="1" customWidth="1"/>
    <col min="7" max="7" width="5.1796875" customWidth="1"/>
    <col min="8" max="8" width="4.54296875" customWidth="1"/>
  </cols>
  <sheetData>
    <row r="1" spans="1:17" s="39" customFormat="1" x14ac:dyDescent="0.35"/>
    <row r="2" spans="1:17" s="39" customFormat="1" x14ac:dyDescent="0.35"/>
    <row r="3" spans="1:17" s="39" customFormat="1" x14ac:dyDescent="0.35"/>
    <row r="4" spans="1:17" ht="23.5" x14ac:dyDescent="0.35">
      <c r="A4" s="225"/>
      <c r="B4" s="225"/>
      <c r="C4" s="225"/>
      <c r="D4" s="225"/>
      <c r="E4" s="225"/>
      <c r="F4" s="225"/>
      <c r="G4" s="226" t="s">
        <v>109</v>
      </c>
      <c r="H4" s="225"/>
      <c r="I4" s="225"/>
      <c r="J4" s="225"/>
      <c r="K4" s="225"/>
      <c r="L4" s="225"/>
      <c r="M4" s="225"/>
      <c r="N4" s="225"/>
      <c r="O4" s="225"/>
      <c r="P4" s="225"/>
      <c r="Q4" s="225"/>
    </row>
    <row r="6" spans="1:17" x14ac:dyDescent="0.35">
      <c r="A6" s="356" t="s">
        <v>110</v>
      </c>
      <c r="B6" s="356"/>
      <c r="C6" s="356"/>
      <c r="D6" s="356"/>
      <c r="E6" s="356"/>
      <c r="F6" s="356"/>
      <c r="G6" s="356"/>
      <c r="H6" s="356"/>
      <c r="I6" s="356"/>
    </row>
    <row r="7" spans="1:17" x14ac:dyDescent="0.35">
      <c r="A7" s="357" t="s">
        <v>111</v>
      </c>
      <c r="B7" s="357"/>
      <c r="C7" s="357"/>
      <c r="D7" s="357"/>
      <c r="E7" s="357"/>
      <c r="F7" s="357"/>
      <c r="G7" s="357"/>
      <c r="H7" s="357"/>
      <c r="I7" s="357"/>
    </row>
    <row r="8" spans="1:17" ht="21.75" customHeight="1" x14ac:dyDescent="0.35">
      <c r="A8" s="358" t="s">
        <v>112</v>
      </c>
      <c r="B8" s="231"/>
      <c r="C8" s="360" t="s">
        <v>113</v>
      </c>
      <c r="D8" s="360"/>
      <c r="E8" s="360"/>
      <c r="F8" s="360"/>
      <c r="G8" s="360"/>
      <c r="H8" s="360"/>
      <c r="I8" s="227"/>
    </row>
    <row r="9" spans="1:17" ht="66" customHeight="1" x14ac:dyDescent="0.35">
      <c r="A9" s="359"/>
      <c r="B9" s="232" t="s">
        <v>114</v>
      </c>
      <c r="C9" s="233" t="s">
        <v>187</v>
      </c>
      <c r="D9" s="233" t="s">
        <v>188</v>
      </c>
      <c r="E9" s="233" t="s">
        <v>189</v>
      </c>
      <c r="F9" s="233" t="s">
        <v>190</v>
      </c>
      <c r="G9" s="233" t="s">
        <v>191</v>
      </c>
      <c r="H9" s="233" t="s">
        <v>192</v>
      </c>
      <c r="I9" s="234" t="s">
        <v>115</v>
      </c>
    </row>
    <row r="10" spans="1:17" x14ac:dyDescent="0.35">
      <c r="A10" s="228" t="s">
        <v>116</v>
      </c>
      <c r="B10" s="229">
        <v>8</v>
      </c>
      <c r="C10" s="229"/>
      <c r="D10" s="229"/>
      <c r="E10" s="229"/>
      <c r="F10" s="229"/>
      <c r="G10" s="229"/>
      <c r="H10" s="229"/>
      <c r="I10" s="230">
        <f>IF(B10&lt;&gt;"",AVERAGE(B10:H10),"")</f>
        <v>8</v>
      </c>
    </row>
    <row r="11" spans="1:17" x14ac:dyDescent="0.35">
      <c r="A11" s="228" t="s">
        <v>117</v>
      </c>
      <c r="B11" s="229">
        <v>10</v>
      </c>
      <c r="C11" s="229">
        <v>5</v>
      </c>
      <c r="D11" s="229">
        <v>10</v>
      </c>
      <c r="E11" s="229">
        <v>10</v>
      </c>
      <c r="F11" s="229">
        <v>10</v>
      </c>
      <c r="G11" s="229">
        <v>10</v>
      </c>
      <c r="H11" s="229">
        <v>5</v>
      </c>
      <c r="I11" s="230">
        <f>IF(B11&lt;&gt;"",AVERAGE(B11:H11),"")</f>
        <v>8.5714285714285712</v>
      </c>
    </row>
    <row r="12" spans="1:17" x14ac:dyDescent="0.35">
      <c r="A12" s="228" t="s">
        <v>118</v>
      </c>
      <c r="B12" s="229">
        <v>5</v>
      </c>
      <c r="C12" s="229">
        <v>10</v>
      </c>
      <c r="D12" s="229">
        <v>10</v>
      </c>
      <c r="E12" s="229">
        <v>10</v>
      </c>
      <c r="F12" s="229">
        <v>10</v>
      </c>
      <c r="G12" s="229">
        <v>10</v>
      </c>
      <c r="H12" s="229">
        <v>5</v>
      </c>
      <c r="I12" s="230">
        <f t="shared" ref="I12:I20" si="0">IF(B12&lt;&gt;"",AVERAGE(B12:H12),"")</f>
        <v>8.5714285714285712</v>
      </c>
    </row>
    <row r="13" spans="1:17" x14ac:dyDescent="0.35">
      <c r="A13" s="228" t="s">
        <v>119</v>
      </c>
      <c r="B13" s="229">
        <v>5</v>
      </c>
      <c r="C13" s="229">
        <v>10</v>
      </c>
      <c r="D13" s="229">
        <v>10</v>
      </c>
      <c r="E13" s="229">
        <v>5</v>
      </c>
      <c r="F13" s="229">
        <v>5</v>
      </c>
      <c r="G13" s="229">
        <v>8</v>
      </c>
      <c r="H13" s="229">
        <v>2</v>
      </c>
      <c r="I13" s="230">
        <f t="shared" si="0"/>
        <v>6.4285714285714288</v>
      </c>
    </row>
    <row r="14" spans="1:17" x14ac:dyDescent="0.35">
      <c r="A14" s="228" t="s">
        <v>120</v>
      </c>
      <c r="B14" s="229">
        <v>10</v>
      </c>
      <c r="C14" s="229">
        <v>10</v>
      </c>
      <c r="D14" s="229"/>
      <c r="E14" s="229"/>
      <c r="F14" s="229"/>
      <c r="G14" s="229"/>
      <c r="H14" s="229"/>
      <c r="I14" s="230">
        <f t="shared" si="0"/>
        <v>10</v>
      </c>
    </row>
    <row r="15" spans="1:17" x14ac:dyDescent="0.35">
      <c r="A15" s="228" t="s">
        <v>121</v>
      </c>
      <c r="B15" s="229">
        <v>1</v>
      </c>
      <c r="C15" s="229">
        <v>10</v>
      </c>
      <c r="D15" s="229">
        <v>10</v>
      </c>
      <c r="E15" s="229">
        <v>10</v>
      </c>
      <c r="F15" s="229">
        <v>10</v>
      </c>
      <c r="G15" s="229">
        <v>10</v>
      </c>
      <c r="H15" s="229">
        <v>3</v>
      </c>
      <c r="I15" s="230">
        <f t="shared" si="0"/>
        <v>7.7142857142857144</v>
      </c>
    </row>
    <row r="16" spans="1:17" x14ac:dyDescent="0.35">
      <c r="A16" s="228" t="s">
        <v>122</v>
      </c>
      <c r="B16" s="229">
        <v>10</v>
      </c>
      <c r="C16" s="229">
        <v>10</v>
      </c>
      <c r="D16" s="229"/>
      <c r="E16" s="229">
        <v>10</v>
      </c>
      <c r="F16" s="229"/>
      <c r="G16" s="229"/>
      <c r="H16" s="229"/>
      <c r="I16" s="230">
        <f t="shared" si="0"/>
        <v>10</v>
      </c>
    </row>
    <row r="17" spans="1:9" x14ac:dyDescent="0.35">
      <c r="A17" s="228" t="s">
        <v>123</v>
      </c>
      <c r="B17" s="229">
        <v>6</v>
      </c>
      <c r="C17" s="229"/>
      <c r="D17" s="229"/>
      <c r="E17" s="229"/>
      <c r="F17" s="229"/>
      <c r="G17" s="229"/>
      <c r="H17" s="229"/>
      <c r="I17" s="230">
        <f t="shared" si="0"/>
        <v>6</v>
      </c>
    </row>
    <row r="18" spans="1:9" x14ac:dyDescent="0.35">
      <c r="A18" s="228" t="s">
        <v>124</v>
      </c>
      <c r="B18" s="229">
        <v>10</v>
      </c>
      <c r="C18" s="229"/>
      <c r="D18" s="229"/>
      <c r="E18" s="229"/>
      <c r="F18" s="229"/>
      <c r="G18" s="229"/>
      <c r="H18" s="229"/>
      <c r="I18" s="230">
        <f t="shared" si="0"/>
        <v>10</v>
      </c>
    </row>
    <row r="19" spans="1:9" x14ac:dyDescent="0.35">
      <c r="A19" s="228" t="s">
        <v>125</v>
      </c>
      <c r="B19" s="229">
        <v>10</v>
      </c>
      <c r="C19" s="229"/>
      <c r="D19" s="229"/>
      <c r="E19" s="229"/>
      <c r="F19" s="229"/>
      <c r="G19" s="229"/>
      <c r="H19" s="229"/>
      <c r="I19" s="230">
        <f t="shared" si="0"/>
        <v>10</v>
      </c>
    </row>
    <row r="20" spans="1:9" x14ac:dyDescent="0.35">
      <c r="A20" s="228" t="s">
        <v>126</v>
      </c>
      <c r="B20" s="229">
        <v>5</v>
      </c>
      <c r="C20" s="229"/>
      <c r="D20" s="229"/>
      <c r="E20" s="229"/>
      <c r="F20" s="229"/>
      <c r="G20" s="229"/>
      <c r="H20" s="229"/>
      <c r="I20" s="230">
        <f t="shared" si="0"/>
        <v>5</v>
      </c>
    </row>
    <row r="21" spans="1:9" x14ac:dyDescent="0.35">
      <c r="A21" s="235" t="s">
        <v>127</v>
      </c>
      <c r="B21" s="236">
        <f t="shared" ref="B21:I21" si="1">SUM(B10:B20)</f>
        <v>80</v>
      </c>
      <c r="C21" s="236">
        <f t="shared" si="1"/>
        <v>55</v>
      </c>
      <c r="D21" s="236">
        <f t="shared" si="1"/>
        <v>40</v>
      </c>
      <c r="E21" s="236">
        <f t="shared" si="1"/>
        <v>45</v>
      </c>
      <c r="F21" s="236">
        <f t="shared" si="1"/>
        <v>35</v>
      </c>
      <c r="G21" s="236">
        <f t="shared" si="1"/>
        <v>38</v>
      </c>
      <c r="H21" s="236">
        <f t="shared" si="1"/>
        <v>15</v>
      </c>
      <c r="I21" s="236">
        <f t="shared" si="1"/>
        <v>90.285714285714278</v>
      </c>
    </row>
  </sheetData>
  <mergeCells count="4">
    <mergeCell ref="A6:I6"/>
    <mergeCell ref="A7:I7"/>
    <mergeCell ref="A8:A9"/>
    <mergeCell ref="C8:H8"/>
  </mergeCells>
  <dataValidations count="3">
    <dataValidation type="decimal" allowBlank="1" showInputMessage="1" showErrorMessage="1" errorTitle="INTRODUCIR:" error="De  0  a 10" sqref="B10:H20" xr:uid="{B841648C-8B50-4495-BE0D-CAA047EFFE59}">
      <formula1>0</formula1>
      <formula2>10</formula2>
    </dataValidation>
    <dataValidation type="textLength" operator="lessThanOrEqual" allowBlank="1" showInputMessage="1" showErrorMessage="1" errorTitle="INTRODUCIR:" error="Máximo 10 caracteres." sqref="C9:H9" xr:uid="{6075C44F-6664-45C7-8421-555F52361074}">
      <formula1>10</formula1>
    </dataValidation>
    <dataValidation type="textLength" operator="lessThan" allowBlank="1" showInputMessage="1" showErrorMessage="1" errorTitle="INTRODUCIR:" error="      Longitud de texto más corto" sqref="A10:A20" xr:uid="{A467C3A8-2F97-40A3-B505-8431A86CA8FE}">
      <formula1>23</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34326-4048-4BE7-8F13-103EAED59065}">
  <sheetPr codeName="Hoja8">
    <tabColor rgb="FF00EC54"/>
  </sheetPr>
  <dimension ref="A1:I41"/>
  <sheetViews>
    <sheetView workbookViewId="0">
      <selection activeCell="E37" sqref="E37"/>
    </sheetView>
  </sheetViews>
  <sheetFormatPr baseColWidth="10" defaultColWidth="23.7265625" defaultRowHeight="14.5" x14ac:dyDescent="0.35"/>
  <cols>
    <col min="1" max="1" width="4.453125" customWidth="1"/>
  </cols>
  <sheetData>
    <row r="1" spans="1:9" x14ac:dyDescent="0.35">
      <c r="A1" s="237"/>
      <c r="B1" s="237"/>
      <c r="C1" s="237"/>
      <c r="D1" s="237"/>
      <c r="E1" s="237"/>
      <c r="F1" s="237"/>
      <c r="G1" s="237"/>
      <c r="H1" s="237"/>
      <c r="I1" s="237"/>
    </row>
    <row r="2" spans="1:9" x14ac:dyDescent="0.35">
      <c r="A2" s="237"/>
      <c r="B2" s="237"/>
      <c r="C2" s="237"/>
      <c r="D2" s="237"/>
      <c r="E2" s="237"/>
      <c r="F2" s="237"/>
      <c r="G2" s="237"/>
      <c r="H2" s="237"/>
      <c r="I2" s="237"/>
    </row>
    <row r="3" spans="1:9" x14ac:dyDescent="0.35">
      <c r="A3" s="237"/>
      <c r="B3" s="237"/>
      <c r="C3" s="237"/>
      <c r="D3" s="237"/>
      <c r="E3" s="237"/>
      <c r="F3" s="237"/>
      <c r="G3" s="237"/>
      <c r="H3" s="237"/>
      <c r="I3" s="237"/>
    </row>
    <row r="4" spans="1:9" ht="15" customHeight="1" x14ac:dyDescent="0.35">
      <c r="B4" s="374" t="s">
        <v>195</v>
      </c>
      <c r="C4" s="375"/>
      <c r="D4" s="376"/>
      <c r="E4" s="364" t="s">
        <v>463</v>
      </c>
    </row>
    <row r="5" spans="1:9" ht="24.75" customHeight="1" x14ac:dyDescent="0.35">
      <c r="B5" s="377"/>
      <c r="C5" s="378"/>
      <c r="D5" s="379"/>
      <c r="E5" s="364"/>
    </row>
    <row r="6" spans="1:9" ht="15" thickBot="1" x14ac:dyDescent="0.4"/>
    <row r="7" spans="1:9" ht="20.25" customHeight="1" thickBot="1" x14ac:dyDescent="0.45">
      <c r="B7" s="365" t="s">
        <v>196</v>
      </c>
      <c r="C7" s="366"/>
      <c r="D7" s="366"/>
      <c r="E7" s="367"/>
    </row>
    <row r="8" spans="1:9" ht="20.25" customHeight="1" thickBot="1" x14ac:dyDescent="0.45">
      <c r="B8" s="365" t="s">
        <v>197</v>
      </c>
      <c r="C8" s="366"/>
      <c r="D8" s="366"/>
      <c r="E8" s="367"/>
    </row>
    <row r="9" spans="1:9" ht="15" thickBot="1" x14ac:dyDescent="0.4"/>
    <row r="10" spans="1:9" ht="15" thickBot="1" x14ac:dyDescent="0.4">
      <c r="B10" s="184" t="s">
        <v>198</v>
      </c>
      <c r="C10" s="184" t="s">
        <v>199</v>
      </c>
      <c r="D10" s="184" t="s">
        <v>200</v>
      </c>
      <c r="E10" s="184" t="s">
        <v>201</v>
      </c>
    </row>
    <row r="11" spans="1:9" x14ac:dyDescent="0.35">
      <c r="B11" s="368" t="s">
        <v>202</v>
      </c>
      <c r="C11" s="361" t="s">
        <v>203</v>
      </c>
      <c r="D11" s="185" t="s">
        <v>204</v>
      </c>
      <c r="E11" s="185" t="s">
        <v>173</v>
      </c>
    </row>
    <row r="12" spans="1:9" ht="15" thickBot="1" x14ac:dyDescent="0.4">
      <c r="B12" s="369"/>
      <c r="C12" s="363"/>
      <c r="D12" s="186" t="s">
        <v>205</v>
      </c>
      <c r="E12" s="186" t="s">
        <v>157</v>
      </c>
    </row>
    <row r="13" spans="1:9" x14ac:dyDescent="0.35">
      <c r="B13" s="361" t="s">
        <v>206</v>
      </c>
      <c r="C13" s="361" t="s">
        <v>207</v>
      </c>
      <c r="D13" s="187" t="s">
        <v>208</v>
      </c>
      <c r="E13" s="187">
        <v>1</v>
      </c>
    </row>
    <row r="14" spans="1:9" x14ac:dyDescent="0.35">
      <c r="B14" s="362"/>
      <c r="C14" s="362"/>
      <c r="D14" s="188" t="s">
        <v>209</v>
      </c>
      <c r="E14" s="188">
        <v>2</v>
      </c>
    </row>
    <row r="15" spans="1:9" x14ac:dyDescent="0.35">
      <c r="B15" s="362"/>
      <c r="C15" s="362"/>
      <c r="D15" s="188" t="s">
        <v>210</v>
      </c>
      <c r="E15" s="188">
        <v>4</v>
      </c>
    </row>
    <row r="16" spans="1:9" x14ac:dyDescent="0.35">
      <c r="B16" s="362"/>
      <c r="C16" s="362"/>
      <c r="D16" s="188" t="s">
        <v>211</v>
      </c>
      <c r="E16" s="188">
        <v>8</v>
      </c>
    </row>
    <row r="17" spans="2:5" ht="15" thickBot="1" x14ac:dyDescent="0.4">
      <c r="B17" s="363"/>
      <c r="C17" s="363"/>
      <c r="D17" s="188" t="s">
        <v>212</v>
      </c>
      <c r="E17" s="188">
        <v>12</v>
      </c>
    </row>
    <row r="18" spans="2:5" x14ac:dyDescent="0.35">
      <c r="B18" s="361" t="s">
        <v>213</v>
      </c>
      <c r="C18" s="361" t="s">
        <v>214</v>
      </c>
      <c r="D18" s="188" t="s">
        <v>215</v>
      </c>
      <c r="E18" s="188">
        <v>1</v>
      </c>
    </row>
    <row r="19" spans="2:5" x14ac:dyDescent="0.35">
      <c r="B19" s="362"/>
      <c r="C19" s="362"/>
      <c r="D19" s="188" t="s">
        <v>216</v>
      </c>
      <c r="E19" s="188">
        <v>2</v>
      </c>
    </row>
    <row r="20" spans="2:5" x14ac:dyDescent="0.35">
      <c r="B20" s="362"/>
      <c r="C20" s="362"/>
      <c r="D20" s="188" t="s">
        <v>217</v>
      </c>
      <c r="E20" s="188">
        <v>4</v>
      </c>
    </row>
    <row r="21" spans="2:5" ht="15" thickBot="1" x14ac:dyDescent="0.4">
      <c r="B21" s="363"/>
      <c r="C21" s="363"/>
      <c r="D21" s="188" t="s">
        <v>25</v>
      </c>
      <c r="E21" s="188">
        <v>8</v>
      </c>
    </row>
    <row r="22" spans="2:5" x14ac:dyDescent="0.35">
      <c r="B22" s="361" t="s">
        <v>144</v>
      </c>
      <c r="C22" s="361" t="s">
        <v>218</v>
      </c>
      <c r="D22" s="188" t="s">
        <v>219</v>
      </c>
      <c r="E22" s="188">
        <v>4</v>
      </c>
    </row>
    <row r="23" spans="2:5" x14ac:dyDescent="0.35">
      <c r="B23" s="362"/>
      <c r="C23" s="362"/>
      <c r="D23" s="188" t="s">
        <v>220</v>
      </c>
      <c r="E23" s="188">
        <v>2</v>
      </c>
    </row>
    <row r="24" spans="2:5" ht="15" thickBot="1" x14ac:dyDescent="0.4">
      <c r="B24" s="363"/>
      <c r="C24" s="363"/>
      <c r="D24" s="188" t="s">
        <v>221</v>
      </c>
      <c r="E24" s="188">
        <v>1</v>
      </c>
    </row>
    <row r="25" spans="2:5" x14ac:dyDescent="0.35">
      <c r="B25" s="361" t="s">
        <v>145</v>
      </c>
      <c r="C25" s="361" t="s">
        <v>222</v>
      </c>
      <c r="D25" s="188" t="s">
        <v>223</v>
      </c>
      <c r="E25" s="188">
        <v>1</v>
      </c>
    </row>
    <row r="26" spans="2:5" x14ac:dyDescent="0.35">
      <c r="B26" s="362"/>
      <c r="C26" s="362"/>
      <c r="D26" s="188" t="s">
        <v>224</v>
      </c>
      <c r="E26" s="188">
        <v>2</v>
      </c>
    </row>
    <row r="27" spans="2:5" ht="15" thickBot="1" x14ac:dyDescent="0.4">
      <c r="B27" s="363"/>
      <c r="C27" s="363"/>
      <c r="D27" s="188" t="s">
        <v>225</v>
      </c>
      <c r="E27" s="188">
        <v>4</v>
      </c>
    </row>
    <row r="28" spans="2:5" x14ac:dyDescent="0.35">
      <c r="B28" s="361" t="s">
        <v>146</v>
      </c>
      <c r="C28" s="361" t="s">
        <v>226</v>
      </c>
      <c r="D28" s="188" t="s">
        <v>227</v>
      </c>
      <c r="E28" s="188">
        <v>1</v>
      </c>
    </row>
    <row r="29" spans="2:5" x14ac:dyDescent="0.35">
      <c r="B29" s="362"/>
      <c r="C29" s="362"/>
      <c r="D29" s="188" t="s">
        <v>220</v>
      </c>
      <c r="E29" s="188">
        <v>2</v>
      </c>
    </row>
    <row r="30" spans="2:5" ht="15" thickBot="1" x14ac:dyDescent="0.4">
      <c r="B30" s="363"/>
      <c r="C30" s="363"/>
      <c r="D30" s="188" t="s">
        <v>228</v>
      </c>
      <c r="E30" s="188">
        <v>4</v>
      </c>
    </row>
    <row r="31" spans="2:5" x14ac:dyDescent="0.35">
      <c r="B31" s="361" t="s">
        <v>229</v>
      </c>
      <c r="C31" s="361" t="s">
        <v>230</v>
      </c>
      <c r="D31" s="188" t="s">
        <v>231</v>
      </c>
      <c r="E31" s="188">
        <v>1</v>
      </c>
    </row>
    <row r="32" spans="2:5" x14ac:dyDescent="0.35">
      <c r="B32" s="362"/>
      <c r="C32" s="362"/>
      <c r="D32" s="188" t="s">
        <v>232</v>
      </c>
      <c r="E32" s="188">
        <v>2</v>
      </c>
    </row>
    <row r="33" spans="2:5" x14ac:dyDescent="0.35">
      <c r="B33" s="362"/>
      <c r="C33" s="362"/>
      <c r="D33" s="188" t="s">
        <v>233</v>
      </c>
      <c r="E33" s="188">
        <v>4</v>
      </c>
    </row>
    <row r="34" spans="2:5" ht="15" thickBot="1" x14ac:dyDescent="0.4">
      <c r="B34" s="363"/>
      <c r="C34" s="363"/>
      <c r="D34" s="188" t="s">
        <v>234</v>
      </c>
      <c r="E34" s="188">
        <v>8</v>
      </c>
    </row>
    <row r="35" spans="2:5" x14ac:dyDescent="0.35">
      <c r="B35" s="361" t="s">
        <v>148</v>
      </c>
      <c r="C35" s="361" t="s">
        <v>235</v>
      </c>
      <c r="D35" s="188" t="s">
        <v>236</v>
      </c>
      <c r="E35" s="188">
        <v>1</v>
      </c>
    </row>
    <row r="36" spans="2:5" ht="15" thickBot="1" x14ac:dyDescent="0.4">
      <c r="B36" s="380"/>
      <c r="C36" s="380"/>
      <c r="D36" s="188" t="s">
        <v>237</v>
      </c>
      <c r="E36" s="188">
        <v>4</v>
      </c>
    </row>
    <row r="37" spans="2:5" x14ac:dyDescent="0.35">
      <c r="B37" s="361" t="s">
        <v>149</v>
      </c>
      <c r="C37" s="361" t="s">
        <v>238</v>
      </c>
      <c r="D37" s="187" t="s">
        <v>239</v>
      </c>
      <c r="E37" s="189">
        <v>4</v>
      </c>
    </row>
    <row r="38" spans="2:5" x14ac:dyDescent="0.35">
      <c r="B38" s="362"/>
      <c r="C38" s="362"/>
      <c r="D38" s="188" t="s">
        <v>240</v>
      </c>
      <c r="E38" s="190">
        <v>2</v>
      </c>
    </row>
    <row r="39" spans="2:5" ht="15" thickBot="1" x14ac:dyDescent="0.4">
      <c r="B39" s="363"/>
      <c r="C39" s="363"/>
      <c r="D39" s="191" t="s">
        <v>241</v>
      </c>
      <c r="E39" s="192">
        <v>1</v>
      </c>
    </row>
    <row r="40" spans="2:5" x14ac:dyDescent="0.35">
      <c r="B40" s="361" t="s">
        <v>242</v>
      </c>
      <c r="C40" s="361" t="s">
        <v>243</v>
      </c>
      <c r="D40" s="370" t="s">
        <v>244</v>
      </c>
      <c r="E40" s="371"/>
    </row>
    <row r="41" spans="2:5" ht="15" thickBot="1" x14ac:dyDescent="0.4">
      <c r="B41" s="363"/>
      <c r="C41" s="363"/>
      <c r="D41" s="372"/>
      <c r="E41" s="373"/>
    </row>
  </sheetData>
  <mergeCells count="25">
    <mergeCell ref="D40:E41"/>
    <mergeCell ref="B4:D5"/>
    <mergeCell ref="B35:B36"/>
    <mergeCell ref="C35:C36"/>
    <mergeCell ref="B37:B39"/>
    <mergeCell ref="C37:C39"/>
    <mergeCell ref="B40:B41"/>
    <mergeCell ref="C40:C41"/>
    <mergeCell ref="B25:B27"/>
    <mergeCell ref="C25:C27"/>
    <mergeCell ref="B28:B30"/>
    <mergeCell ref="C28:C30"/>
    <mergeCell ref="B31:B34"/>
    <mergeCell ref="C31:C34"/>
    <mergeCell ref="B13:B17"/>
    <mergeCell ref="C13:C17"/>
    <mergeCell ref="B18:B21"/>
    <mergeCell ref="C18:C21"/>
    <mergeCell ref="B22:B24"/>
    <mergeCell ref="C22:C24"/>
    <mergeCell ref="E4:E5"/>
    <mergeCell ref="B7:E7"/>
    <mergeCell ref="B8:E8"/>
    <mergeCell ref="B11:B12"/>
    <mergeCell ref="C11:C1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C8139-90E2-4D99-A4DC-AB6A250904D9}">
  <sheetPr codeName="Hoja9">
    <tabColor rgb="FF00EC54"/>
  </sheetPr>
  <dimension ref="A1:F37"/>
  <sheetViews>
    <sheetView topLeftCell="A25" workbookViewId="0">
      <selection activeCell="B8" sqref="B8:D8"/>
    </sheetView>
  </sheetViews>
  <sheetFormatPr baseColWidth="10" defaultRowHeight="14.5" x14ac:dyDescent="0.35"/>
  <cols>
    <col min="2" max="2" width="107.7265625" bestFit="1" customWidth="1"/>
    <col min="4" max="4" width="24.81640625" customWidth="1"/>
  </cols>
  <sheetData>
    <row r="1" spans="1:6" x14ac:dyDescent="0.35">
      <c r="A1" s="39"/>
      <c r="B1" s="39"/>
      <c r="C1" s="39"/>
      <c r="D1" s="39"/>
      <c r="E1" s="39"/>
      <c r="F1" s="39"/>
    </row>
    <row r="2" spans="1:6" x14ac:dyDescent="0.35">
      <c r="A2" s="39"/>
      <c r="B2" s="39"/>
      <c r="C2" s="39"/>
      <c r="D2" s="39"/>
      <c r="E2" s="39"/>
      <c r="F2" s="39"/>
    </row>
    <row r="3" spans="1:6" x14ac:dyDescent="0.35">
      <c r="A3" s="39"/>
      <c r="B3" s="39"/>
      <c r="C3" s="39"/>
      <c r="D3" s="39"/>
      <c r="E3" s="39"/>
      <c r="F3" s="39"/>
    </row>
    <row r="4" spans="1:6" x14ac:dyDescent="0.35">
      <c r="B4" s="383" t="s">
        <v>278</v>
      </c>
      <c r="C4" s="383" t="s">
        <v>245</v>
      </c>
      <c r="D4" s="364" t="s">
        <v>464</v>
      </c>
    </row>
    <row r="5" spans="1:6" x14ac:dyDescent="0.35">
      <c r="B5" s="383"/>
      <c r="C5" s="383"/>
      <c r="D5" s="364"/>
    </row>
    <row r="6" spans="1:6" ht="25.5" customHeight="1" x14ac:dyDescent="0.35">
      <c r="B6" s="383"/>
      <c r="C6" s="383"/>
      <c r="D6" s="364"/>
    </row>
    <row r="7" spans="1:6" ht="18" x14ac:dyDescent="0.35">
      <c r="B7" s="384" t="s">
        <v>246</v>
      </c>
      <c r="C7" s="384"/>
      <c r="D7" s="385"/>
    </row>
    <row r="8" spans="1:6" x14ac:dyDescent="0.35">
      <c r="B8" s="381" t="s">
        <v>247</v>
      </c>
      <c r="C8" s="381"/>
      <c r="D8" s="382"/>
    </row>
    <row r="9" spans="1:6" x14ac:dyDescent="0.35">
      <c r="B9" s="381" t="s">
        <v>248</v>
      </c>
      <c r="C9" s="381"/>
      <c r="D9" s="382"/>
    </row>
    <row r="10" spans="1:6" ht="18" x14ac:dyDescent="0.35">
      <c r="B10" s="386" t="s">
        <v>249</v>
      </c>
      <c r="C10" s="386"/>
      <c r="D10" s="387"/>
    </row>
    <row r="11" spans="1:6" x14ac:dyDescent="0.35">
      <c r="B11" s="381" t="s">
        <v>250</v>
      </c>
      <c r="C11" s="381"/>
      <c r="D11" s="382"/>
    </row>
    <row r="12" spans="1:6" x14ac:dyDescent="0.35">
      <c r="B12" s="381" t="s">
        <v>251</v>
      </c>
      <c r="C12" s="381"/>
      <c r="D12" s="382"/>
    </row>
    <row r="13" spans="1:6" x14ac:dyDescent="0.35">
      <c r="B13" s="388" t="s">
        <v>252</v>
      </c>
      <c r="C13" s="389"/>
      <c r="D13" s="193" t="s">
        <v>206</v>
      </c>
    </row>
    <row r="14" spans="1:6" ht="27.75" customHeight="1" x14ac:dyDescent="0.35">
      <c r="B14" s="388" t="s">
        <v>253</v>
      </c>
      <c r="C14" s="389"/>
      <c r="D14" s="193" t="s">
        <v>213</v>
      </c>
    </row>
    <row r="15" spans="1:6" ht="35.25" customHeight="1" x14ac:dyDescent="0.35">
      <c r="B15" s="390" t="s">
        <v>254</v>
      </c>
      <c r="C15" s="391"/>
      <c r="D15" s="193" t="s">
        <v>144</v>
      </c>
    </row>
    <row r="16" spans="1:6" ht="42.75" customHeight="1" x14ac:dyDescent="0.35">
      <c r="B16" s="392" t="s">
        <v>255</v>
      </c>
      <c r="C16" s="393"/>
      <c r="D16" s="193" t="s">
        <v>145</v>
      </c>
    </row>
    <row r="17" spans="2:4" ht="34.5" customHeight="1" x14ac:dyDescent="0.35">
      <c r="B17" s="392" t="s">
        <v>256</v>
      </c>
      <c r="C17" s="393"/>
      <c r="D17" s="193" t="s">
        <v>146</v>
      </c>
    </row>
    <row r="18" spans="2:4" ht="26" x14ac:dyDescent="0.35">
      <c r="B18" s="392" t="s">
        <v>257</v>
      </c>
      <c r="C18" s="393"/>
      <c r="D18" s="193" t="s">
        <v>229</v>
      </c>
    </row>
    <row r="19" spans="2:4" ht="30" customHeight="1" x14ac:dyDescent="0.35">
      <c r="B19" s="392" t="s">
        <v>258</v>
      </c>
      <c r="C19" s="393"/>
      <c r="D19" s="193" t="s">
        <v>148</v>
      </c>
    </row>
    <row r="20" spans="2:4" ht="31.5" customHeight="1" thickBot="1" x14ac:dyDescent="0.4">
      <c r="B20" s="381" t="s">
        <v>259</v>
      </c>
      <c r="C20" s="381"/>
      <c r="D20" s="194" t="s">
        <v>149</v>
      </c>
    </row>
    <row r="21" spans="2:4" ht="31.5" customHeight="1" thickBot="1" x14ac:dyDescent="0.4">
      <c r="B21" s="381" t="s">
        <v>260</v>
      </c>
      <c r="C21" s="381"/>
      <c r="D21" s="194"/>
    </row>
    <row r="22" spans="2:4" ht="30.75" customHeight="1" thickBot="1" x14ac:dyDescent="0.4">
      <c r="B22" s="381" t="s">
        <v>261</v>
      </c>
      <c r="C22" s="381"/>
      <c r="D22" s="194"/>
    </row>
    <row r="23" spans="2:4" ht="33" customHeight="1" x14ac:dyDescent="0.35">
      <c r="B23" s="381" t="s">
        <v>262</v>
      </c>
      <c r="C23" s="381"/>
      <c r="D23" s="382"/>
    </row>
    <row r="24" spans="2:4" ht="15.5" x14ac:dyDescent="0.35">
      <c r="B24" s="394" t="s">
        <v>263</v>
      </c>
      <c r="C24" s="394"/>
      <c r="D24" s="395"/>
    </row>
    <row r="25" spans="2:4" ht="27.75" customHeight="1" x14ac:dyDescent="0.35">
      <c r="B25" s="381" t="s">
        <v>264</v>
      </c>
      <c r="C25" s="381"/>
      <c r="D25" s="382"/>
    </row>
    <row r="26" spans="2:4" ht="18" x14ac:dyDescent="0.35">
      <c r="B26" s="386" t="s">
        <v>265</v>
      </c>
      <c r="C26" s="386"/>
      <c r="D26" s="387"/>
    </row>
    <row r="27" spans="2:4" ht="31.5" customHeight="1" x14ac:dyDescent="0.35">
      <c r="B27" s="381" t="s">
        <v>266</v>
      </c>
      <c r="C27" s="381"/>
      <c r="D27" s="382"/>
    </row>
    <row r="28" spans="2:4" ht="18" x14ac:dyDescent="0.35">
      <c r="B28" s="386" t="s">
        <v>267</v>
      </c>
      <c r="C28" s="386"/>
      <c r="D28" s="387"/>
    </row>
    <row r="29" spans="2:4" ht="31.5" customHeight="1" x14ac:dyDescent="0.35">
      <c r="B29" s="381" t="s">
        <v>268</v>
      </c>
      <c r="C29" s="381"/>
      <c r="D29" s="382"/>
    </row>
    <row r="30" spans="2:4" ht="18" customHeight="1" x14ac:dyDescent="0.35">
      <c r="B30" s="201" t="s">
        <v>269</v>
      </c>
      <c r="C30" s="201"/>
      <c r="D30" s="195" t="s">
        <v>157</v>
      </c>
    </row>
    <row r="31" spans="2:4" ht="18" customHeight="1" x14ac:dyDescent="0.35">
      <c r="B31" s="200" t="s">
        <v>270</v>
      </c>
      <c r="C31" s="200"/>
      <c r="D31" s="196" t="s">
        <v>157</v>
      </c>
    </row>
    <row r="32" spans="2:4" ht="18" x14ac:dyDescent="0.35">
      <c r="B32" s="396" t="s">
        <v>271</v>
      </c>
      <c r="C32" s="396"/>
      <c r="D32" s="197" t="s">
        <v>157</v>
      </c>
    </row>
    <row r="33" spans="2:4" ht="18" x14ac:dyDescent="0.35">
      <c r="B33" s="397" t="s">
        <v>272</v>
      </c>
      <c r="C33" s="397"/>
      <c r="D33" s="198" t="s">
        <v>157</v>
      </c>
    </row>
    <row r="34" spans="2:4" ht="18.75" customHeight="1" x14ac:dyDescent="0.35">
      <c r="B34" s="202" t="s">
        <v>273</v>
      </c>
      <c r="C34" s="202"/>
      <c r="D34" s="203" t="s">
        <v>173</v>
      </c>
    </row>
    <row r="35" spans="2:4" ht="15.75" customHeight="1" x14ac:dyDescent="0.35">
      <c r="B35" s="398" t="s">
        <v>274</v>
      </c>
      <c r="C35" s="398"/>
      <c r="D35" s="398"/>
    </row>
    <row r="36" spans="2:4" x14ac:dyDescent="0.35">
      <c r="B36" s="398"/>
      <c r="C36" s="398"/>
      <c r="D36" s="398"/>
    </row>
    <row r="37" spans="2:4" x14ac:dyDescent="0.35">
      <c r="B37" s="398"/>
      <c r="C37" s="398"/>
      <c r="D37" s="398"/>
    </row>
  </sheetData>
  <mergeCells count="29">
    <mergeCell ref="B24:D24"/>
    <mergeCell ref="B32:C32"/>
    <mergeCell ref="B33:C33"/>
    <mergeCell ref="B35:D37"/>
    <mergeCell ref="B23:D23"/>
    <mergeCell ref="B25:D25"/>
    <mergeCell ref="B26:D26"/>
    <mergeCell ref="B27:D27"/>
    <mergeCell ref="B28:D28"/>
    <mergeCell ref="B29:D29"/>
    <mergeCell ref="B22:C22"/>
    <mergeCell ref="B10:D10"/>
    <mergeCell ref="B11:D11"/>
    <mergeCell ref="B12:D12"/>
    <mergeCell ref="B14:C14"/>
    <mergeCell ref="B15:C15"/>
    <mergeCell ref="B16:C16"/>
    <mergeCell ref="B13:C13"/>
    <mergeCell ref="B17:C17"/>
    <mergeCell ref="B18:C18"/>
    <mergeCell ref="B19:C19"/>
    <mergeCell ref="B20:C20"/>
    <mergeCell ref="B21:C21"/>
    <mergeCell ref="B9:D9"/>
    <mergeCell ref="B4:B6"/>
    <mergeCell ref="C4:C6"/>
    <mergeCell ref="D4:D6"/>
    <mergeCell ref="B7:D7"/>
    <mergeCell ref="B8:D8"/>
  </mergeCells>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1AF2-D1E8-4F41-9105-E9B720EA373F}">
  <sheetPr codeName="Hoja10">
    <tabColor rgb="FF00EC54"/>
  </sheetPr>
  <dimension ref="A1:AO25"/>
  <sheetViews>
    <sheetView zoomScaleNormal="100" workbookViewId="0">
      <selection activeCell="AG13" sqref="AG13:AH13"/>
    </sheetView>
  </sheetViews>
  <sheetFormatPr baseColWidth="10" defaultRowHeight="14.5" x14ac:dyDescent="0.35"/>
  <cols>
    <col min="1" max="1" width="18.7265625" customWidth="1"/>
    <col min="2" max="2" width="50.453125" bestFit="1" customWidth="1"/>
    <col min="3" max="3" width="6.7265625" bestFit="1" customWidth="1"/>
    <col min="4" max="4" width="21.26953125" customWidth="1"/>
    <col min="5" max="5" width="10.1796875" customWidth="1"/>
    <col min="6" max="6" width="8.453125" customWidth="1"/>
    <col min="7" max="7" width="6" customWidth="1"/>
    <col min="8" max="8" width="6.26953125" customWidth="1"/>
    <col min="9" max="9" width="4.1796875" customWidth="1"/>
    <col min="10" max="10" width="4.453125" customWidth="1"/>
    <col min="11" max="11" width="6.1796875" customWidth="1"/>
    <col min="12" max="12" width="6.453125" customWidth="1"/>
    <col min="13" max="13" width="7.81640625" customWidth="1"/>
    <col min="14" max="14" width="3.81640625" customWidth="1"/>
    <col min="15" max="15" width="4.7265625" customWidth="1"/>
    <col min="16" max="16" width="9.81640625" customWidth="1"/>
    <col min="17" max="17" width="5.26953125" customWidth="1"/>
    <col min="18" max="18" width="4.81640625" customWidth="1"/>
    <col min="19" max="19" width="4" customWidth="1"/>
    <col min="20" max="20" width="3.7265625" customWidth="1"/>
    <col min="21" max="21" width="5.81640625" customWidth="1"/>
    <col min="22" max="24" width="4.26953125" customWidth="1"/>
    <col min="25" max="25" width="5.26953125" customWidth="1"/>
    <col min="26" max="26" width="4.54296875" customWidth="1"/>
    <col min="27" max="28" width="3.81640625" customWidth="1"/>
    <col min="29" max="29" width="9.26953125" customWidth="1"/>
    <col min="30" max="30" width="13.453125" customWidth="1"/>
    <col min="31" max="31" width="18.453125" customWidth="1"/>
    <col min="32" max="32" width="11.1796875" customWidth="1"/>
    <col min="33" max="33" width="4" customWidth="1"/>
    <col min="34" max="34" width="3.54296875" customWidth="1"/>
    <col min="35" max="35" width="5.7265625" customWidth="1"/>
    <col min="36" max="36" width="8.1796875" customWidth="1"/>
    <col min="37" max="37" width="6.81640625" customWidth="1"/>
    <col min="38" max="38" width="4" customWidth="1"/>
    <col min="39" max="39" width="5.7265625" customWidth="1"/>
    <col min="40" max="40" width="7.54296875" customWidth="1"/>
    <col min="41" max="41" width="5.54296875" customWidth="1"/>
  </cols>
  <sheetData>
    <row r="1" spans="1:41" ht="18.75" customHeight="1" x14ac:dyDescent="0.35"/>
    <row r="2" spans="1:41" ht="18.75" customHeight="1" x14ac:dyDescent="0.35"/>
    <row r="3" spans="1:41" ht="18.75" customHeight="1" thickBot="1" x14ac:dyDescent="0.4"/>
    <row r="4" spans="1:41" x14ac:dyDescent="0.35">
      <c r="A4" s="415"/>
      <c r="B4" s="417" t="s">
        <v>277</v>
      </c>
      <c r="C4" s="418"/>
      <c r="D4" s="418"/>
      <c r="E4" s="418"/>
      <c r="F4" s="418"/>
      <c r="G4" s="418"/>
      <c r="H4" s="418"/>
      <c r="I4" s="418"/>
      <c r="J4" s="418"/>
      <c r="K4" s="418"/>
      <c r="L4" s="418"/>
      <c r="M4" s="418"/>
      <c r="N4" s="418"/>
      <c r="O4" s="418"/>
      <c r="P4" s="418"/>
      <c r="Q4" s="418"/>
      <c r="R4" s="418"/>
      <c r="S4" s="418"/>
      <c r="T4" s="418"/>
      <c r="U4" s="418"/>
      <c r="V4" s="418"/>
      <c r="W4" s="418"/>
      <c r="X4" s="418"/>
      <c r="Y4" s="418"/>
      <c r="Z4" s="418"/>
      <c r="AA4" s="418"/>
      <c r="AB4" s="418"/>
      <c r="AC4" s="418"/>
      <c r="AD4" s="418"/>
      <c r="AE4" s="418"/>
      <c r="AF4" s="418"/>
      <c r="AG4" s="418"/>
      <c r="AH4" s="418"/>
      <c r="AI4" s="418"/>
      <c r="AJ4" s="418"/>
      <c r="AK4" s="418"/>
      <c r="AL4" s="419"/>
      <c r="AM4" s="426" t="s">
        <v>465</v>
      </c>
      <c r="AN4" s="427"/>
      <c r="AO4" s="428"/>
    </row>
    <row r="5" spans="1:41" x14ac:dyDescent="0.35">
      <c r="A5" s="416"/>
      <c r="B5" s="420"/>
      <c r="C5" s="421"/>
      <c r="D5" s="421"/>
      <c r="E5" s="421"/>
      <c r="F5" s="421"/>
      <c r="G5" s="421"/>
      <c r="H5" s="421"/>
      <c r="I5" s="421"/>
      <c r="J5" s="421"/>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2"/>
      <c r="AM5" s="429"/>
      <c r="AN5" s="430"/>
      <c r="AO5" s="431"/>
    </row>
    <row r="6" spans="1:41" ht="15" thickBot="1" x14ac:dyDescent="0.4">
      <c r="A6" s="416"/>
      <c r="B6" s="423"/>
      <c r="C6" s="424"/>
      <c r="D6" s="424"/>
      <c r="E6" s="424"/>
      <c r="F6" s="424"/>
      <c r="G6" s="424"/>
      <c r="H6" s="424"/>
      <c r="I6" s="424"/>
      <c r="J6" s="424"/>
      <c r="K6" s="424"/>
      <c r="L6" s="424"/>
      <c r="M6" s="424"/>
      <c r="N6" s="424"/>
      <c r="O6" s="424"/>
      <c r="P6" s="424"/>
      <c r="Q6" s="424"/>
      <c r="R6" s="424"/>
      <c r="S6" s="424"/>
      <c r="T6" s="424"/>
      <c r="U6" s="424"/>
      <c r="V6" s="424"/>
      <c r="W6" s="424"/>
      <c r="X6" s="424"/>
      <c r="Y6" s="424"/>
      <c r="Z6" s="424"/>
      <c r="AA6" s="424"/>
      <c r="AB6" s="424"/>
      <c r="AC6" s="424"/>
      <c r="AD6" s="424"/>
      <c r="AE6" s="424"/>
      <c r="AF6" s="424"/>
      <c r="AG6" s="424"/>
      <c r="AH6" s="424"/>
      <c r="AI6" s="424"/>
      <c r="AJ6" s="424"/>
      <c r="AK6" s="424"/>
      <c r="AL6" s="425"/>
      <c r="AM6" s="432"/>
      <c r="AN6" s="433"/>
      <c r="AO6" s="434"/>
    </row>
    <row r="7" spans="1:41" ht="18.5" thickBot="1" x14ac:dyDescent="0.4">
      <c r="A7" s="435"/>
      <c r="B7" s="436"/>
      <c r="C7" s="436"/>
      <c r="D7" s="436"/>
      <c r="E7" s="436"/>
      <c r="F7" s="436"/>
      <c r="G7" s="436"/>
      <c r="H7" s="436"/>
      <c r="I7" s="436"/>
      <c r="J7" s="436"/>
      <c r="K7" s="436"/>
      <c r="L7" s="436"/>
      <c r="M7" s="436"/>
      <c r="N7" s="436"/>
      <c r="O7" s="436"/>
      <c r="P7" s="436"/>
      <c r="Q7" s="436"/>
      <c r="R7" s="436"/>
      <c r="S7" s="436"/>
      <c r="T7" s="436"/>
      <c r="U7" s="436"/>
      <c r="V7" s="436"/>
      <c r="W7" s="436"/>
      <c r="X7" s="436"/>
      <c r="Y7" s="436"/>
      <c r="Z7" s="436"/>
      <c r="AA7" s="436"/>
      <c r="AB7" s="436"/>
      <c r="AC7" s="436"/>
      <c r="AD7" s="436"/>
      <c r="AE7" s="436"/>
      <c r="AF7" s="436"/>
      <c r="AG7" s="436"/>
      <c r="AH7" s="436"/>
      <c r="AI7" s="436"/>
      <c r="AJ7" s="436"/>
      <c r="AK7" s="436"/>
      <c r="AL7" s="436"/>
      <c r="AM7" s="436"/>
      <c r="AN7" s="436"/>
      <c r="AO7" s="437"/>
    </row>
    <row r="8" spans="1:41" ht="18.5" thickBot="1" x14ac:dyDescent="0.4">
      <c r="A8" s="438" t="s">
        <v>275</v>
      </c>
      <c r="B8" s="439"/>
      <c r="C8" s="439"/>
      <c r="D8" s="439"/>
      <c r="E8" s="439"/>
      <c r="F8" s="439"/>
      <c r="G8" s="439"/>
      <c r="H8" s="439"/>
      <c r="I8" s="439"/>
      <c r="J8" s="439"/>
      <c r="K8" s="439"/>
      <c r="L8" s="439"/>
      <c r="M8" s="439"/>
      <c r="N8" s="439"/>
      <c r="O8" s="439"/>
      <c r="P8" s="439"/>
      <c r="Q8" s="439"/>
      <c r="R8" s="439"/>
      <c r="S8" s="439"/>
      <c r="T8" s="439"/>
      <c r="U8" s="439"/>
      <c r="V8" s="439"/>
      <c r="W8" s="439"/>
      <c r="X8" s="439"/>
      <c r="Y8" s="439"/>
      <c r="Z8" s="439"/>
      <c r="AA8" s="439"/>
      <c r="AB8" s="439"/>
      <c r="AC8" s="439"/>
      <c r="AD8" s="439"/>
      <c r="AE8" s="439"/>
      <c r="AF8" s="439"/>
      <c r="AG8" s="439"/>
      <c r="AH8" s="439"/>
      <c r="AI8" s="439"/>
      <c r="AJ8" s="439"/>
      <c r="AK8" s="439"/>
      <c r="AL8" s="439"/>
      <c r="AM8" s="439"/>
      <c r="AN8" s="439"/>
      <c r="AO8" s="440"/>
    </row>
    <row r="9" spans="1:41" ht="15" thickBot="1" x14ac:dyDescent="0.4">
      <c r="A9" s="401" t="s">
        <v>128</v>
      </c>
      <c r="B9" s="404" t="s">
        <v>129</v>
      </c>
      <c r="C9" s="407" t="s">
        <v>130</v>
      </c>
      <c r="D9" s="404" t="s">
        <v>131</v>
      </c>
      <c r="E9" s="412" t="s">
        <v>276</v>
      </c>
      <c r="F9" s="413"/>
      <c r="G9" s="413"/>
      <c r="H9" s="413"/>
      <c r="I9" s="413"/>
      <c r="J9" s="413"/>
      <c r="K9" s="413"/>
      <c r="L9" s="413"/>
      <c r="M9" s="413"/>
      <c r="N9" s="413"/>
      <c r="O9" s="413"/>
      <c r="P9" s="413"/>
      <c r="Q9" s="414"/>
      <c r="R9" s="441" t="s">
        <v>132</v>
      </c>
      <c r="S9" s="442"/>
      <c r="T9" s="442"/>
      <c r="U9" s="442"/>
      <c r="V9" s="442"/>
      <c r="W9" s="442"/>
      <c r="X9" s="442"/>
      <c r="Y9" s="442"/>
      <c r="Z9" s="442"/>
      <c r="AA9" s="442"/>
      <c r="AB9" s="442"/>
      <c r="AC9" s="442"/>
      <c r="AD9" s="442"/>
      <c r="AE9" s="443" t="s">
        <v>133</v>
      </c>
      <c r="AF9" s="444"/>
      <c r="AG9" s="444"/>
      <c r="AH9" s="444"/>
      <c r="AI9" s="444"/>
      <c r="AJ9" s="444"/>
      <c r="AK9" s="444"/>
      <c r="AL9" s="444"/>
      <c r="AM9" s="444"/>
      <c r="AN9" s="444"/>
      <c r="AO9" s="445"/>
    </row>
    <row r="10" spans="1:41" ht="15.5" thickTop="1" thickBot="1" x14ac:dyDescent="0.4">
      <c r="A10" s="402"/>
      <c r="B10" s="405"/>
      <c r="C10" s="408"/>
      <c r="D10" s="410"/>
      <c r="E10" s="446" t="s">
        <v>134</v>
      </c>
      <c r="F10" s="447"/>
      <c r="G10" s="447" t="s">
        <v>193</v>
      </c>
      <c r="H10" s="447"/>
      <c r="I10" s="447" t="s">
        <v>135</v>
      </c>
      <c r="J10" s="447"/>
      <c r="K10" s="447" t="s">
        <v>136</v>
      </c>
      <c r="L10" s="447" t="s">
        <v>137</v>
      </c>
      <c r="M10" s="447" t="s">
        <v>138</v>
      </c>
      <c r="N10" s="447" t="s">
        <v>139</v>
      </c>
      <c r="O10" s="447" t="s">
        <v>140</v>
      </c>
      <c r="P10" s="447" t="s">
        <v>194</v>
      </c>
      <c r="Q10" s="452" t="s">
        <v>141</v>
      </c>
      <c r="R10" s="454" t="s">
        <v>142</v>
      </c>
      <c r="S10" s="450" t="s">
        <v>143</v>
      </c>
      <c r="T10" s="450" t="s">
        <v>144</v>
      </c>
      <c r="U10" s="450" t="s">
        <v>145</v>
      </c>
      <c r="V10" s="450" t="s">
        <v>146</v>
      </c>
      <c r="W10" s="399" t="s">
        <v>461</v>
      </c>
      <c r="X10" s="399" t="s">
        <v>462</v>
      </c>
      <c r="Y10" s="450" t="s">
        <v>147</v>
      </c>
      <c r="Z10" s="450" t="s">
        <v>148</v>
      </c>
      <c r="AA10" s="450" t="s">
        <v>149</v>
      </c>
      <c r="AB10" s="399" t="s">
        <v>242</v>
      </c>
      <c r="AC10" s="450" t="s">
        <v>150</v>
      </c>
      <c r="AD10" s="450" t="s">
        <v>151</v>
      </c>
      <c r="AE10" s="446" t="s">
        <v>134</v>
      </c>
      <c r="AF10" s="447" t="s">
        <v>193</v>
      </c>
      <c r="AG10" s="447" t="s">
        <v>135</v>
      </c>
      <c r="AH10" s="447"/>
      <c r="AI10" s="447" t="s">
        <v>136</v>
      </c>
      <c r="AJ10" s="447" t="s">
        <v>137</v>
      </c>
      <c r="AK10" s="447" t="s">
        <v>138</v>
      </c>
      <c r="AL10" s="447" t="s">
        <v>139</v>
      </c>
      <c r="AM10" s="447" t="s">
        <v>140</v>
      </c>
      <c r="AN10" s="447" t="s">
        <v>194</v>
      </c>
      <c r="AO10" s="452" t="s">
        <v>141</v>
      </c>
    </row>
    <row r="11" spans="1:41" ht="94.5" customHeight="1" thickTop="1" thickBot="1" x14ac:dyDescent="0.4">
      <c r="A11" s="403"/>
      <c r="B11" s="406"/>
      <c r="C11" s="409"/>
      <c r="D11" s="411"/>
      <c r="E11" s="448"/>
      <c r="F11" s="449"/>
      <c r="G11" s="449"/>
      <c r="H11" s="449"/>
      <c r="I11" s="449"/>
      <c r="J11" s="449"/>
      <c r="K11" s="449"/>
      <c r="L11" s="449"/>
      <c r="M11" s="449"/>
      <c r="N11" s="449"/>
      <c r="O11" s="449"/>
      <c r="P11" s="449"/>
      <c r="Q11" s="453"/>
      <c r="R11" s="455"/>
      <c r="S11" s="456"/>
      <c r="T11" s="456"/>
      <c r="U11" s="456"/>
      <c r="V11" s="456"/>
      <c r="W11" s="400"/>
      <c r="X11" s="400"/>
      <c r="Y11" s="456"/>
      <c r="Z11" s="456"/>
      <c r="AA11" s="456"/>
      <c r="AB11" s="400"/>
      <c r="AC11" s="456"/>
      <c r="AD11" s="451"/>
      <c r="AE11" s="459"/>
      <c r="AF11" s="457"/>
      <c r="AG11" s="457"/>
      <c r="AH11" s="457"/>
      <c r="AI11" s="457"/>
      <c r="AJ11" s="457"/>
      <c r="AK11" s="457"/>
      <c r="AL11" s="457"/>
      <c r="AM11" s="457"/>
      <c r="AN11" s="457"/>
      <c r="AO11" s="458"/>
    </row>
    <row r="12" spans="1:41" ht="20" x14ac:dyDescent="0.35">
      <c r="A12" s="460" t="s">
        <v>152</v>
      </c>
      <c r="B12" s="462" t="s">
        <v>153</v>
      </c>
      <c r="C12" s="146" t="s">
        <v>154</v>
      </c>
      <c r="D12" s="147" t="s">
        <v>155</v>
      </c>
      <c r="E12" s="464"/>
      <c r="F12" s="465"/>
      <c r="G12" s="465"/>
      <c r="H12" s="465"/>
      <c r="I12" s="465"/>
      <c r="J12" s="465"/>
      <c r="K12" s="148"/>
      <c r="L12" s="148"/>
      <c r="M12" s="148"/>
      <c r="N12" s="148"/>
      <c r="O12" s="148"/>
      <c r="P12" s="148" t="s">
        <v>156</v>
      </c>
      <c r="Q12" s="181"/>
      <c r="R12" s="149">
        <v>1</v>
      </c>
      <c r="S12" s="150">
        <v>1</v>
      </c>
      <c r="T12" s="150">
        <v>1</v>
      </c>
      <c r="U12" s="150">
        <v>1</v>
      </c>
      <c r="V12" s="150">
        <v>1</v>
      </c>
      <c r="W12" s="150"/>
      <c r="X12" s="150"/>
      <c r="Y12" s="150">
        <v>2</v>
      </c>
      <c r="Z12" s="150">
        <v>1</v>
      </c>
      <c r="AA12" s="150">
        <v>2</v>
      </c>
      <c r="AB12" s="302"/>
      <c r="AC12" s="151" t="s">
        <v>157</v>
      </c>
      <c r="AD12" s="152">
        <f t="shared" ref="AD12:AD23" si="0">+R12+S12+T12+U12+V12+AA12</f>
        <v>7</v>
      </c>
      <c r="AE12" s="204"/>
      <c r="AF12" s="205"/>
      <c r="AG12" s="485"/>
      <c r="AH12" s="486"/>
      <c r="AI12" s="205"/>
      <c r="AJ12" s="205"/>
      <c r="AK12" s="206"/>
      <c r="AL12" s="206"/>
      <c r="AM12" s="205"/>
      <c r="AN12" s="152">
        <v>7</v>
      </c>
      <c r="AO12" s="207"/>
    </row>
    <row r="13" spans="1:41" ht="23.5" thickBot="1" x14ac:dyDescent="0.4">
      <c r="A13" s="461"/>
      <c r="B13" s="463"/>
      <c r="C13" s="153" t="s">
        <v>158</v>
      </c>
      <c r="D13" s="154" t="s">
        <v>159</v>
      </c>
      <c r="E13" s="466" t="s">
        <v>156</v>
      </c>
      <c r="F13" s="467"/>
      <c r="G13" s="467" t="s">
        <v>156</v>
      </c>
      <c r="H13" s="467"/>
      <c r="I13" s="467" t="s">
        <v>156</v>
      </c>
      <c r="J13" s="467"/>
      <c r="K13" s="155"/>
      <c r="L13" s="155" t="s">
        <v>156</v>
      </c>
      <c r="M13" s="155"/>
      <c r="N13" s="155" t="s">
        <v>156</v>
      </c>
      <c r="O13" s="155" t="s">
        <v>156</v>
      </c>
      <c r="P13" s="155" t="s">
        <v>156</v>
      </c>
      <c r="Q13" s="182" t="s">
        <v>156</v>
      </c>
      <c r="R13" s="156">
        <v>1</v>
      </c>
      <c r="S13" s="157">
        <v>1</v>
      </c>
      <c r="T13" s="157">
        <v>1</v>
      </c>
      <c r="U13" s="157">
        <v>1</v>
      </c>
      <c r="V13" s="157">
        <v>1</v>
      </c>
      <c r="W13" s="157"/>
      <c r="X13" s="157"/>
      <c r="Y13" s="157">
        <v>2</v>
      </c>
      <c r="Z13" s="157">
        <v>1</v>
      </c>
      <c r="AA13" s="157">
        <v>2</v>
      </c>
      <c r="AB13" s="303"/>
      <c r="AC13" s="158" t="s">
        <v>157</v>
      </c>
      <c r="AD13" s="152">
        <f t="shared" si="0"/>
        <v>7</v>
      </c>
      <c r="AE13" s="152">
        <v>7</v>
      </c>
      <c r="AF13" s="152">
        <v>7</v>
      </c>
      <c r="AG13" s="497">
        <v>7</v>
      </c>
      <c r="AH13" s="498"/>
      <c r="AI13" s="208"/>
      <c r="AJ13" s="152">
        <v>7</v>
      </c>
      <c r="AK13" s="208"/>
      <c r="AL13" s="152">
        <v>7</v>
      </c>
      <c r="AM13" s="152">
        <v>7</v>
      </c>
      <c r="AN13" s="152">
        <v>7</v>
      </c>
      <c r="AO13" s="152">
        <v>7</v>
      </c>
    </row>
    <row r="14" spans="1:41" ht="23" x14ac:dyDescent="0.35">
      <c r="A14" s="461"/>
      <c r="B14" s="462" t="s">
        <v>160</v>
      </c>
      <c r="C14" s="146" t="s">
        <v>161</v>
      </c>
      <c r="D14" s="147" t="s">
        <v>162</v>
      </c>
      <c r="E14" s="464"/>
      <c r="F14" s="465"/>
      <c r="G14" s="465"/>
      <c r="H14" s="465"/>
      <c r="I14" s="465"/>
      <c r="J14" s="465"/>
      <c r="K14" s="148" t="s">
        <v>156</v>
      </c>
      <c r="L14" s="148"/>
      <c r="M14" s="148" t="s">
        <v>156</v>
      </c>
      <c r="N14" s="148" t="s">
        <v>156</v>
      </c>
      <c r="O14" s="148" t="s">
        <v>156</v>
      </c>
      <c r="P14" s="148" t="s">
        <v>156</v>
      </c>
      <c r="Q14" s="181"/>
      <c r="R14" s="149">
        <v>1</v>
      </c>
      <c r="S14" s="150">
        <v>1</v>
      </c>
      <c r="T14" s="150">
        <v>1</v>
      </c>
      <c r="U14" s="150">
        <v>1</v>
      </c>
      <c r="V14" s="150">
        <v>1</v>
      </c>
      <c r="W14" s="150"/>
      <c r="X14" s="150"/>
      <c r="Y14" s="150">
        <v>1</v>
      </c>
      <c r="Z14" s="150">
        <v>1</v>
      </c>
      <c r="AA14" s="150">
        <v>2</v>
      </c>
      <c r="AB14" s="302"/>
      <c r="AC14" s="151" t="s">
        <v>157</v>
      </c>
      <c r="AD14" s="152">
        <f t="shared" si="0"/>
        <v>7</v>
      </c>
      <c r="AE14" s="204"/>
      <c r="AF14" s="206"/>
      <c r="AG14" s="493"/>
      <c r="AH14" s="494"/>
      <c r="AI14" s="152">
        <v>7</v>
      </c>
      <c r="AJ14" s="206"/>
      <c r="AK14" s="152">
        <v>7</v>
      </c>
      <c r="AL14" s="152">
        <v>7</v>
      </c>
      <c r="AM14" s="152">
        <v>7</v>
      </c>
      <c r="AN14" s="152">
        <v>7</v>
      </c>
      <c r="AO14" s="207"/>
    </row>
    <row r="15" spans="1:41" ht="20.5" thickBot="1" x14ac:dyDescent="0.4">
      <c r="A15" s="461"/>
      <c r="B15" s="463"/>
      <c r="C15" s="153" t="s">
        <v>163</v>
      </c>
      <c r="D15" s="154" t="s">
        <v>164</v>
      </c>
      <c r="E15" s="466"/>
      <c r="F15" s="467"/>
      <c r="G15" s="467"/>
      <c r="H15" s="467"/>
      <c r="I15" s="467"/>
      <c r="J15" s="467"/>
      <c r="K15" s="155"/>
      <c r="L15" s="155"/>
      <c r="M15" s="155"/>
      <c r="N15" s="155"/>
      <c r="O15" s="155"/>
      <c r="P15" s="155"/>
      <c r="Q15" s="182"/>
      <c r="R15" s="156">
        <v>1</v>
      </c>
      <c r="S15" s="157">
        <v>1</v>
      </c>
      <c r="T15" s="157">
        <v>1</v>
      </c>
      <c r="U15" s="157">
        <v>1</v>
      </c>
      <c r="V15" s="157">
        <v>1</v>
      </c>
      <c r="W15" s="157"/>
      <c r="X15" s="157"/>
      <c r="Y15" s="157">
        <v>1</v>
      </c>
      <c r="Z15" s="157">
        <v>1</v>
      </c>
      <c r="AA15" s="157">
        <v>2</v>
      </c>
      <c r="AB15" s="303"/>
      <c r="AC15" s="158" t="s">
        <v>157</v>
      </c>
      <c r="AD15" s="152">
        <f t="shared" si="0"/>
        <v>7</v>
      </c>
      <c r="AE15" s="211"/>
      <c r="AF15" s="208"/>
      <c r="AG15" s="495"/>
      <c r="AH15" s="496"/>
      <c r="AI15" s="208"/>
      <c r="AJ15" s="208"/>
      <c r="AK15" s="209"/>
      <c r="AL15" s="208"/>
      <c r="AM15" s="208"/>
      <c r="AN15" s="209"/>
      <c r="AO15" s="210"/>
    </row>
    <row r="16" spans="1:41" ht="20" x14ac:dyDescent="0.35">
      <c r="A16" s="461"/>
      <c r="B16" s="462" t="s">
        <v>165</v>
      </c>
      <c r="C16" s="146" t="s">
        <v>166</v>
      </c>
      <c r="D16" s="147" t="s">
        <v>167</v>
      </c>
      <c r="E16" s="464"/>
      <c r="F16" s="465"/>
      <c r="G16" s="465"/>
      <c r="H16" s="465"/>
      <c r="I16" s="465"/>
      <c r="J16" s="465"/>
      <c r="K16" s="148"/>
      <c r="L16" s="148"/>
      <c r="M16" s="148"/>
      <c r="N16" s="148"/>
      <c r="O16" s="148"/>
      <c r="P16" s="148"/>
      <c r="Q16" s="181"/>
      <c r="R16" s="160">
        <v>4</v>
      </c>
      <c r="S16" s="150">
        <v>1</v>
      </c>
      <c r="T16" s="150">
        <v>1</v>
      </c>
      <c r="U16" s="150">
        <v>1</v>
      </c>
      <c r="V16" s="150">
        <v>1</v>
      </c>
      <c r="W16" s="150"/>
      <c r="X16" s="150"/>
      <c r="Y16" s="150">
        <v>1</v>
      </c>
      <c r="Z16" s="150">
        <v>1</v>
      </c>
      <c r="AA16" s="150">
        <v>2</v>
      </c>
      <c r="AB16" s="302"/>
      <c r="AC16" s="151" t="s">
        <v>157</v>
      </c>
      <c r="AD16" s="152">
        <f t="shared" si="0"/>
        <v>10</v>
      </c>
      <c r="AE16" s="204"/>
      <c r="AF16" s="205"/>
      <c r="AG16" s="485"/>
      <c r="AH16" s="486"/>
      <c r="AI16" s="205"/>
      <c r="AJ16" s="205"/>
      <c r="AK16" s="205"/>
      <c r="AL16" s="205"/>
      <c r="AM16" s="205"/>
      <c r="AN16" s="205"/>
      <c r="AO16" s="212"/>
    </row>
    <row r="17" spans="1:41" ht="23.5" thickBot="1" x14ac:dyDescent="0.4">
      <c r="A17" s="461"/>
      <c r="B17" s="463"/>
      <c r="C17" s="153" t="s">
        <v>168</v>
      </c>
      <c r="D17" s="154" t="s">
        <v>162</v>
      </c>
      <c r="E17" s="466"/>
      <c r="F17" s="467"/>
      <c r="G17" s="467"/>
      <c r="H17" s="467"/>
      <c r="I17" s="467"/>
      <c r="J17" s="467"/>
      <c r="K17" s="155"/>
      <c r="L17" s="155"/>
      <c r="M17" s="155" t="s">
        <v>156</v>
      </c>
      <c r="N17" s="155" t="s">
        <v>156</v>
      </c>
      <c r="O17" s="155" t="s">
        <v>156</v>
      </c>
      <c r="P17" s="155" t="s">
        <v>156</v>
      </c>
      <c r="Q17" s="182"/>
      <c r="R17" s="161">
        <v>4</v>
      </c>
      <c r="S17" s="157">
        <v>1</v>
      </c>
      <c r="T17" s="157">
        <v>1</v>
      </c>
      <c r="U17" s="157">
        <v>1</v>
      </c>
      <c r="V17" s="157">
        <v>1</v>
      </c>
      <c r="W17" s="157"/>
      <c r="X17" s="157"/>
      <c r="Y17" s="157">
        <v>1</v>
      </c>
      <c r="Z17" s="157">
        <v>1</v>
      </c>
      <c r="AA17" s="157">
        <v>2</v>
      </c>
      <c r="AB17" s="303"/>
      <c r="AC17" s="158" t="s">
        <v>157</v>
      </c>
      <c r="AD17" s="152">
        <f t="shared" si="0"/>
        <v>10</v>
      </c>
      <c r="AE17" s="211"/>
      <c r="AF17" s="208"/>
      <c r="AG17" s="479"/>
      <c r="AH17" s="480"/>
      <c r="AI17" s="208"/>
      <c r="AJ17" s="208"/>
      <c r="AK17" s="152">
        <v>10</v>
      </c>
      <c r="AL17" s="152">
        <v>10</v>
      </c>
      <c r="AM17" s="152">
        <v>10</v>
      </c>
      <c r="AN17" s="152">
        <v>10</v>
      </c>
      <c r="AO17" s="210"/>
    </row>
    <row r="18" spans="1:41" ht="20" x14ac:dyDescent="0.35">
      <c r="A18" s="468" t="s">
        <v>169</v>
      </c>
      <c r="B18" s="471" t="s">
        <v>170</v>
      </c>
      <c r="C18" s="162" t="s">
        <v>171</v>
      </c>
      <c r="D18" s="163" t="s">
        <v>172</v>
      </c>
      <c r="E18" s="473"/>
      <c r="F18" s="474"/>
      <c r="G18" s="475" t="s">
        <v>156</v>
      </c>
      <c r="H18" s="474"/>
      <c r="I18" s="475"/>
      <c r="J18" s="474"/>
      <c r="K18" s="148"/>
      <c r="L18" s="148"/>
      <c r="M18" s="148"/>
      <c r="N18" s="148"/>
      <c r="O18" s="148"/>
      <c r="P18" s="148" t="s">
        <v>156</v>
      </c>
      <c r="Q18" s="181" t="s">
        <v>156</v>
      </c>
      <c r="R18" s="160">
        <v>1</v>
      </c>
      <c r="S18" s="150">
        <v>1</v>
      </c>
      <c r="T18" s="150">
        <v>1</v>
      </c>
      <c r="U18" s="150">
        <v>1</v>
      </c>
      <c r="V18" s="150">
        <v>1</v>
      </c>
      <c r="W18" s="150"/>
      <c r="X18" s="150"/>
      <c r="Y18" s="150">
        <v>1</v>
      </c>
      <c r="Z18" s="150">
        <v>1</v>
      </c>
      <c r="AA18" s="150">
        <v>1</v>
      </c>
      <c r="AB18" s="302"/>
      <c r="AC18" s="151" t="s">
        <v>173</v>
      </c>
      <c r="AD18" s="164">
        <f t="shared" si="0"/>
        <v>6</v>
      </c>
      <c r="AE18" s="213"/>
      <c r="AF18" s="164">
        <v>6</v>
      </c>
      <c r="AG18" s="493"/>
      <c r="AH18" s="494"/>
      <c r="AI18" s="206"/>
      <c r="AJ18" s="206"/>
      <c r="AK18" s="206"/>
      <c r="AL18" s="206"/>
      <c r="AM18" s="206"/>
      <c r="AN18" s="164">
        <v>6</v>
      </c>
      <c r="AO18" s="164">
        <v>6</v>
      </c>
    </row>
    <row r="19" spans="1:41" ht="23.5" thickBot="1" x14ac:dyDescent="0.4">
      <c r="A19" s="469"/>
      <c r="B19" s="472"/>
      <c r="C19" s="153" t="s">
        <v>174</v>
      </c>
      <c r="D19" s="165" t="s">
        <v>175</v>
      </c>
      <c r="E19" s="466"/>
      <c r="F19" s="467"/>
      <c r="G19" s="467" t="s">
        <v>291</v>
      </c>
      <c r="H19" s="467"/>
      <c r="I19" s="467" t="s">
        <v>291</v>
      </c>
      <c r="J19" s="467"/>
      <c r="K19" s="155" t="s">
        <v>291</v>
      </c>
      <c r="L19" s="155"/>
      <c r="M19" s="155"/>
      <c r="N19" s="155"/>
      <c r="O19" s="155"/>
      <c r="P19" s="155" t="s">
        <v>156</v>
      </c>
      <c r="Q19" s="182" t="s">
        <v>156</v>
      </c>
      <c r="R19" s="161">
        <v>1</v>
      </c>
      <c r="S19" s="157">
        <v>2</v>
      </c>
      <c r="T19" s="157">
        <v>1</v>
      </c>
      <c r="U19" s="157">
        <v>1</v>
      </c>
      <c r="V19" s="157">
        <v>1</v>
      </c>
      <c r="W19" s="157"/>
      <c r="X19" s="157"/>
      <c r="Y19" s="157">
        <v>1</v>
      </c>
      <c r="Z19" s="157">
        <v>1</v>
      </c>
      <c r="AA19" s="157">
        <v>2</v>
      </c>
      <c r="AB19" s="303"/>
      <c r="AC19" s="158" t="s">
        <v>157</v>
      </c>
      <c r="AD19" s="152">
        <f t="shared" si="0"/>
        <v>8</v>
      </c>
      <c r="AE19" s="211"/>
      <c r="AF19" s="208"/>
      <c r="AG19" s="479"/>
      <c r="AH19" s="480"/>
      <c r="AI19" s="208"/>
      <c r="AJ19" s="208"/>
      <c r="AK19" s="209"/>
      <c r="AL19" s="208"/>
      <c r="AM19" s="209"/>
      <c r="AN19" s="152">
        <v>8</v>
      </c>
      <c r="AO19" s="152">
        <v>8</v>
      </c>
    </row>
    <row r="20" spans="1:41" ht="20" x14ac:dyDescent="0.35">
      <c r="A20" s="469"/>
      <c r="B20" s="471" t="s">
        <v>176</v>
      </c>
      <c r="C20" s="162" t="s">
        <v>177</v>
      </c>
      <c r="D20" s="163" t="s">
        <v>178</v>
      </c>
      <c r="E20" s="464"/>
      <c r="F20" s="465"/>
      <c r="G20" s="465" t="s">
        <v>156</v>
      </c>
      <c r="H20" s="465"/>
      <c r="I20" s="465"/>
      <c r="J20" s="465"/>
      <c r="K20" s="148"/>
      <c r="L20" s="148"/>
      <c r="M20" s="148"/>
      <c r="N20" s="148"/>
      <c r="O20" s="148"/>
      <c r="P20" s="148" t="s">
        <v>156</v>
      </c>
      <c r="Q20" s="181" t="s">
        <v>156</v>
      </c>
      <c r="R20" s="160">
        <v>1</v>
      </c>
      <c r="S20" s="150">
        <v>1</v>
      </c>
      <c r="T20" s="150">
        <v>1</v>
      </c>
      <c r="U20" s="150">
        <v>1</v>
      </c>
      <c r="V20" s="150">
        <v>1</v>
      </c>
      <c r="W20" s="150"/>
      <c r="X20" s="150"/>
      <c r="Y20" s="150">
        <v>1</v>
      </c>
      <c r="Z20" s="150">
        <v>1</v>
      </c>
      <c r="AA20" s="150">
        <v>2</v>
      </c>
      <c r="AB20" s="302"/>
      <c r="AC20" s="151" t="s">
        <v>157</v>
      </c>
      <c r="AD20" s="152">
        <f t="shared" si="0"/>
        <v>7</v>
      </c>
      <c r="AE20" s="214"/>
      <c r="AF20" s="152">
        <v>7</v>
      </c>
      <c r="AG20" s="485"/>
      <c r="AH20" s="486"/>
      <c r="AI20" s="215"/>
      <c r="AJ20" s="216"/>
      <c r="AK20" s="215"/>
      <c r="AL20" s="215"/>
      <c r="AM20" s="215"/>
      <c r="AN20" s="152">
        <v>7</v>
      </c>
      <c r="AO20" s="152">
        <v>7</v>
      </c>
    </row>
    <row r="21" spans="1:41" ht="23" x14ac:dyDescent="0.35">
      <c r="A21" s="469"/>
      <c r="B21" s="476"/>
      <c r="C21" s="166" t="s">
        <v>179</v>
      </c>
      <c r="D21" s="167" t="s">
        <v>180</v>
      </c>
      <c r="E21" s="477"/>
      <c r="F21" s="478"/>
      <c r="G21" s="478"/>
      <c r="H21" s="478"/>
      <c r="I21" s="478"/>
      <c r="J21" s="478"/>
      <c r="K21" s="168"/>
      <c r="L21" s="168"/>
      <c r="M21" s="168"/>
      <c r="N21" s="168"/>
      <c r="O21" s="168"/>
      <c r="P21" s="168" t="s">
        <v>156</v>
      </c>
      <c r="Q21" s="183" t="s">
        <v>156</v>
      </c>
      <c r="R21" s="169">
        <v>1</v>
      </c>
      <c r="S21" s="170">
        <v>1</v>
      </c>
      <c r="T21" s="170">
        <v>1</v>
      </c>
      <c r="U21" s="170">
        <v>1</v>
      </c>
      <c r="V21" s="170">
        <v>1</v>
      </c>
      <c r="W21" s="170"/>
      <c r="X21" s="170"/>
      <c r="Y21" s="170">
        <v>1</v>
      </c>
      <c r="Z21" s="170">
        <v>1</v>
      </c>
      <c r="AA21" s="170">
        <v>2</v>
      </c>
      <c r="AB21" s="304"/>
      <c r="AC21" s="171" t="s">
        <v>157</v>
      </c>
      <c r="AD21" s="152">
        <f t="shared" si="0"/>
        <v>7</v>
      </c>
      <c r="AE21" s="217"/>
      <c r="AF21" s="218"/>
      <c r="AG21" s="483"/>
      <c r="AH21" s="484"/>
      <c r="AI21" s="218"/>
      <c r="AJ21" s="218"/>
      <c r="AK21" s="218"/>
      <c r="AL21" s="218"/>
      <c r="AM21" s="218"/>
      <c r="AN21" s="152">
        <v>7</v>
      </c>
      <c r="AO21" s="152">
        <v>7</v>
      </c>
    </row>
    <row r="22" spans="1:41" ht="23" x14ac:dyDescent="0.35">
      <c r="A22" s="469"/>
      <c r="B22" s="476"/>
      <c r="C22" s="166" t="s">
        <v>181</v>
      </c>
      <c r="D22" s="167" t="s">
        <v>182</v>
      </c>
      <c r="E22" s="477"/>
      <c r="F22" s="478"/>
      <c r="G22" s="478"/>
      <c r="H22" s="478"/>
      <c r="I22" s="478" t="s">
        <v>156</v>
      </c>
      <c r="J22" s="478"/>
      <c r="K22" s="168"/>
      <c r="L22" s="168" t="s">
        <v>156</v>
      </c>
      <c r="M22" s="168"/>
      <c r="N22" s="168"/>
      <c r="O22" s="168" t="s">
        <v>156</v>
      </c>
      <c r="P22" s="168" t="s">
        <v>156</v>
      </c>
      <c r="Q22" s="183" t="s">
        <v>156</v>
      </c>
      <c r="R22" s="169">
        <v>1</v>
      </c>
      <c r="S22" s="170">
        <v>1</v>
      </c>
      <c r="T22" s="170">
        <v>1</v>
      </c>
      <c r="U22" s="170">
        <v>1</v>
      </c>
      <c r="V22" s="170">
        <v>1</v>
      </c>
      <c r="W22" s="170"/>
      <c r="X22" s="170"/>
      <c r="Y22" s="170">
        <v>1</v>
      </c>
      <c r="Z22" s="170">
        <v>1</v>
      </c>
      <c r="AA22" s="170">
        <v>2</v>
      </c>
      <c r="AB22" s="304"/>
      <c r="AC22" s="171" t="s">
        <v>157</v>
      </c>
      <c r="AD22" s="152">
        <f t="shared" si="0"/>
        <v>7</v>
      </c>
      <c r="AE22" s="217"/>
      <c r="AF22" s="218"/>
      <c r="AG22" s="481">
        <v>7</v>
      </c>
      <c r="AH22" s="482"/>
      <c r="AI22" s="218"/>
      <c r="AJ22" s="152">
        <v>7</v>
      </c>
      <c r="AK22" s="218"/>
      <c r="AL22" s="218"/>
      <c r="AM22" s="152">
        <v>7</v>
      </c>
      <c r="AN22" s="152">
        <v>7</v>
      </c>
      <c r="AO22" s="152">
        <v>7</v>
      </c>
    </row>
    <row r="23" spans="1:41" ht="23.5" thickBot="1" x14ac:dyDescent="0.4">
      <c r="A23" s="470"/>
      <c r="B23" s="472"/>
      <c r="C23" s="153" t="s">
        <v>183</v>
      </c>
      <c r="D23" s="165" t="s">
        <v>184</v>
      </c>
      <c r="E23" s="466"/>
      <c r="F23" s="467"/>
      <c r="G23" s="467"/>
      <c r="H23" s="467"/>
      <c r="I23" s="467"/>
      <c r="J23" s="467"/>
      <c r="K23" s="155"/>
      <c r="L23" s="155"/>
      <c r="M23" s="155"/>
      <c r="N23" s="155"/>
      <c r="O23" s="155"/>
      <c r="P23" s="155"/>
      <c r="Q23" s="182" t="s">
        <v>156</v>
      </c>
      <c r="R23" s="161">
        <v>1</v>
      </c>
      <c r="S23" s="157">
        <v>1</v>
      </c>
      <c r="T23" s="157">
        <v>1</v>
      </c>
      <c r="U23" s="157">
        <v>1</v>
      </c>
      <c r="V23" s="157">
        <v>1</v>
      </c>
      <c r="W23" s="157"/>
      <c r="X23" s="157"/>
      <c r="Y23" s="157">
        <v>1</v>
      </c>
      <c r="Z23" s="157">
        <v>1</v>
      </c>
      <c r="AA23" s="157">
        <v>2</v>
      </c>
      <c r="AB23" s="303"/>
      <c r="AC23" s="158" t="s">
        <v>157</v>
      </c>
      <c r="AD23" s="152">
        <f t="shared" si="0"/>
        <v>7</v>
      </c>
      <c r="AE23" s="211"/>
      <c r="AF23" s="208"/>
      <c r="AG23" s="479"/>
      <c r="AH23" s="480"/>
      <c r="AI23" s="208"/>
      <c r="AJ23" s="208"/>
      <c r="AK23" s="209"/>
      <c r="AL23" s="209"/>
      <c r="AM23" s="208"/>
      <c r="AN23" s="208"/>
      <c r="AO23" s="152">
        <v>7</v>
      </c>
    </row>
    <row r="24" spans="1:41" ht="15" thickBot="1" x14ac:dyDescent="0.4">
      <c r="A24" s="172"/>
      <c r="B24" s="173"/>
      <c r="C24" s="174"/>
      <c r="D24" s="173"/>
      <c r="E24" s="173"/>
      <c r="F24" s="173"/>
      <c r="G24" s="173"/>
      <c r="H24" s="173"/>
      <c r="I24" s="173"/>
      <c r="J24" s="173"/>
      <c r="K24" s="173"/>
      <c r="L24" s="173"/>
      <c r="M24" s="173"/>
      <c r="N24" s="173"/>
      <c r="O24" s="173"/>
      <c r="P24" s="173"/>
      <c r="Q24" s="173"/>
      <c r="R24" s="173"/>
      <c r="S24" s="173"/>
      <c r="T24" s="173"/>
      <c r="U24" s="173"/>
      <c r="V24" s="173"/>
      <c r="W24" s="173"/>
      <c r="X24" s="173"/>
      <c r="Y24" s="173"/>
      <c r="Z24" s="487" t="s">
        <v>185</v>
      </c>
      <c r="AA24" s="488"/>
      <c r="AB24" s="488"/>
      <c r="AC24" s="489"/>
      <c r="AD24" s="175">
        <f>+AD18</f>
        <v>6</v>
      </c>
      <c r="AE24" s="173"/>
      <c r="AF24" s="173"/>
      <c r="AG24" s="173"/>
      <c r="AH24" s="173"/>
      <c r="AI24" s="173"/>
      <c r="AJ24" s="173"/>
      <c r="AK24" s="173"/>
      <c r="AL24" s="173"/>
      <c r="AM24" s="173"/>
      <c r="AN24" s="173"/>
      <c r="AO24" s="176"/>
    </row>
    <row r="25" spans="1:41" ht="15" thickBot="1" x14ac:dyDescent="0.4">
      <c r="A25" s="177"/>
      <c r="B25" s="178"/>
      <c r="C25" s="179"/>
      <c r="D25" s="178"/>
      <c r="E25" s="178"/>
      <c r="F25" s="178"/>
      <c r="G25" s="178"/>
      <c r="H25" s="178"/>
      <c r="I25" s="178"/>
      <c r="J25" s="178"/>
      <c r="K25" s="178"/>
      <c r="L25" s="178"/>
      <c r="M25" s="178"/>
      <c r="N25" s="178"/>
      <c r="O25" s="178"/>
      <c r="P25" s="178"/>
      <c r="Q25" s="178"/>
      <c r="R25" s="178"/>
      <c r="S25" s="178"/>
      <c r="T25" s="178"/>
      <c r="U25" s="178"/>
      <c r="V25" s="178"/>
      <c r="W25" s="178"/>
      <c r="X25" s="178"/>
      <c r="Y25" s="178"/>
      <c r="Z25" s="490" t="s">
        <v>186</v>
      </c>
      <c r="AA25" s="491"/>
      <c r="AB25" s="491"/>
      <c r="AC25" s="492"/>
      <c r="AD25" s="159">
        <f>AVERAGE(AD12:AD23)</f>
        <v>7.5</v>
      </c>
      <c r="AE25" s="178"/>
      <c r="AF25" s="178"/>
      <c r="AG25" s="178"/>
      <c r="AH25" s="178"/>
      <c r="AI25" s="178"/>
      <c r="AJ25" s="178"/>
      <c r="AK25" s="178"/>
      <c r="AL25" s="178"/>
      <c r="AM25" s="178"/>
      <c r="AN25" s="178"/>
      <c r="AO25" s="180"/>
    </row>
  </sheetData>
  <mergeCells count="102">
    <mergeCell ref="Z24:AC24"/>
    <mergeCell ref="Z25:AC25"/>
    <mergeCell ref="AG19:AH19"/>
    <mergeCell ref="AG12:AH12"/>
    <mergeCell ref="AG14:AH14"/>
    <mergeCell ref="AG15:AH15"/>
    <mergeCell ref="AG16:AH16"/>
    <mergeCell ref="AG17:AH17"/>
    <mergeCell ref="AG18:AH18"/>
    <mergeCell ref="AG13:AH13"/>
    <mergeCell ref="AG23:AH23"/>
    <mergeCell ref="AG22:AH22"/>
    <mergeCell ref="AG21:AH21"/>
    <mergeCell ref="AG20:AH20"/>
    <mergeCell ref="G20:H20"/>
    <mergeCell ref="I20:J20"/>
    <mergeCell ref="E23:F23"/>
    <mergeCell ref="G23:H23"/>
    <mergeCell ref="I23:J23"/>
    <mergeCell ref="A18:A23"/>
    <mergeCell ref="B18:B19"/>
    <mergeCell ref="E18:F18"/>
    <mergeCell ref="G18:H18"/>
    <mergeCell ref="I18:J18"/>
    <mergeCell ref="E19:F19"/>
    <mergeCell ref="G19:H19"/>
    <mergeCell ref="I19:J19"/>
    <mergeCell ref="B20:B23"/>
    <mergeCell ref="E20:F20"/>
    <mergeCell ref="E21:F21"/>
    <mergeCell ref="G21:H21"/>
    <mergeCell ref="I21:J21"/>
    <mergeCell ref="E22:F22"/>
    <mergeCell ref="G22:H22"/>
    <mergeCell ref="I22:J22"/>
    <mergeCell ref="A12:A17"/>
    <mergeCell ref="B12:B13"/>
    <mergeCell ref="E12:F12"/>
    <mergeCell ref="G12:H12"/>
    <mergeCell ref="I12:J12"/>
    <mergeCell ref="E13:F13"/>
    <mergeCell ref="G13:H13"/>
    <mergeCell ref="I13:J13"/>
    <mergeCell ref="B14:B15"/>
    <mergeCell ref="E14:F14"/>
    <mergeCell ref="G14:H14"/>
    <mergeCell ref="I14:J14"/>
    <mergeCell ref="E15:F15"/>
    <mergeCell ref="G15:H15"/>
    <mergeCell ref="I15:J15"/>
    <mergeCell ref="B16:B17"/>
    <mergeCell ref="E16:F16"/>
    <mergeCell ref="G16:H16"/>
    <mergeCell ref="I16:J16"/>
    <mergeCell ref="E17:F17"/>
    <mergeCell ref="G17:H17"/>
    <mergeCell ref="I17:J17"/>
    <mergeCell ref="AC10:AC11"/>
    <mergeCell ref="AL10:AL11"/>
    <mergeCell ref="AM10:AM11"/>
    <mergeCell ref="AN10:AN11"/>
    <mergeCell ref="AO10:AO11"/>
    <mergeCell ref="AE10:AE11"/>
    <mergeCell ref="AF10:AF11"/>
    <mergeCell ref="AG10:AH11"/>
    <mergeCell ref="AI10:AI11"/>
    <mergeCell ref="AJ10:AJ11"/>
    <mergeCell ref="AK10:AK11"/>
    <mergeCell ref="R10:R11"/>
    <mergeCell ref="S10:S11"/>
    <mergeCell ref="T10:T11"/>
    <mergeCell ref="U10:U11"/>
    <mergeCell ref="V10:V11"/>
    <mergeCell ref="Y10:Y11"/>
    <mergeCell ref="Z10:Z11"/>
    <mergeCell ref="AA10:AA11"/>
    <mergeCell ref="W10:W11"/>
    <mergeCell ref="X10:X11"/>
    <mergeCell ref="AB10:AB11"/>
    <mergeCell ref="A9:A11"/>
    <mergeCell ref="B9:B11"/>
    <mergeCell ref="C9:C11"/>
    <mergeCell ref="D9:D11"/>
    <mergeCell ref="E9:Q9"/>
    <mergeCell ref="A4:A6"/>
    <mergeCell ref="B4:AL6"/>
    <mergeCell ref="AM4:AO6"/>
    <mergeCell ref="A7:AO7"/>
    <mergeCell ref="A8:AO8"/>
    <mergeCell ref="R9:AD9"/>
    <mergeCell ref="AE9:AO9"/>
    <mergeCell ref="E10:F11"/>
    <mergeCell ref="G10:H11"/>
    <mergeCell ref="I10:J11"/>
    <mergeCell ref="K10:K11"/>
    <mergeCell ref="L10:L11"/>
    <mergeCell ref="M10:M11"/>
    <mergeCell ref="N10:N11"/>
    <mergeCell ref="O10:O11"/>
    <mergeCell ref="AD10:AD11"/>
    <mergeCell ref="P10:P11"/>
    <mergeCell ref="Q10:Q1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503C7-C8C5-471B-9F91-DB131C561841}">
  <sheetPr codeName="Hoja11">
    <tabColor rgb="FF00EC54"/>
  </sheetPr>
  <dimension ref="B4:G9"/>
  <sheetViews>
    <sheetView tabSelected="1" zoomScale="90" zoomScaleNormal="90" workbookViewId="0">
      <selection activeCell="G7" sqref="G7"/>
    </sheetView>
  </sheetViews>
  <sheetFormatPr baseColWidth="10" defaultRowHeight="14.5" x14ac:dyDescent="0.35"/>
  <cols>
    <col min="3" max="3" width="23.81640625" customWidth="1"/>
    <col min="6" max="6" width="12.1796875" bestFit="1" customWidth="1"/>
  </cols>
  <sheetData>
    <row r="4" spans="2:7" ht="15" thickBot="1" x14ac:dyDescent="0.4"/>
    <row r="5" spans="2:7" ht="21.5" thickBot="1" x14ac:dyDescent="0.4">
      <c r="B5" s="219" t="s">
        <v>279</v>
      </c>
      <c r="C5" s="220" t="s">
        <v>280</v>
      </c>
      <c r="E5" t="s">
        <v>281</v>
      </c>
      <c r="F5" t="s">
        <v>282</v>
      </c>
      <c r="G5" t="s">
        <v>283</v>
      </c>
    </row>
    <row r="6" spans="2:7" ht="50.5" thickBot="1" x14ac:dyDescent="0.4">
      <c r="B6" s="221" t="s">
        <v>284</v>
      </c>
      <c r="C6" s="222" t="s">
        <v>285</v>
      </c>
      <c r="E6" s="40">
        <v>6</v>
      </c>
      <c r="F6" s="40" t="s">
        <v>186</v>
      </c>
      <c r="G6" s="40">
        <v>14</v>
      </c>
    </row>
    <row r="7" spans="2:7" ht="30.5" thickBot="1" x14ac:dyDescent="0.4">
      <c r="B7" s="221" t="s">
        <v>286</v>
      </c>
      <c r="C7" s="223" t="s">
        <v>287</v>
      </c>
      <c r="E7" s="199">
        <v>0</v>
      </c>
      <c r="F7" s="40" t="s">
        <v>288</v>
      </c>
      <c r="G7" s="199">
        <v>3</v>
      </c>
    </row>
    <row r="8" spans="2:7" ht="68.25" customHeight="1" x14ac:dyDescent="0.35">
      <c r="B8" s="499" t="s">
        <v>289</v>
      </c>
      <c r="C8" s="499" t="s">
        <v>290</v>
      </c>
      <c r="E8" s="40">
        <v>6</v>
      </c>
      <c r="F8" s="40" t="s">
        <v>186</v>
      </c>
      <c r="G8" s="40">
        <v>13</v>
      </c>
    </row>
    <row r="9" spans="2:7" ht="15" thickBot="1" x14ac:dyDescent="0.4">
      <c r="B9" s="500"/>
      <c r="C9" s="500"/>
    </row>
  </sheetData>
  <mergeCells count="2">
    <mergeCell ref="B8:B9"/>
    <mergeCell ref="C8:C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98E8-7B9F-4011-80BC-81D9F59CBEBD}">
  <sheetPr codeName="Hoja6">
    <tabColor rgb="FF00EC54"/>
  </sheetPr>
  <dimension ref="A3:J99"/>
  <sheetViews>
    <sheetView topLeftCell="A62" zoomScale="110" zoomScaleNormal="110" workbookViewId="0">
      <selection activeCell="B11" sqref="B11"/>
    </sheetView>
  </sheetViews>
  <sheetFormatPr baseColWidth="10" defaultColWidth="11.453125" defaultRowHeight="14.5" x14ac:dyDescent="0.35"/>
  <cols>
    <col min="1" max="1" width="32.7265625" style="142" customWidth="1"/>
    <col min="2" max="2" width="30.81640625" style="142" customWidth="1"/>
    <col min="3" max="3" width="17.26953125" style="142" bestFit="1" customWidth="1"/>
    <col min="4" max="4" width="27.54296875" style="142" customWidth="1"/>
    <col min="5" max="5" width="15.26953125" style="142" bestFit="1" customWidth="1"/>
    <col min="6" max="6" width="16.26953125" style="142" customWidth="1"/>
    <col min="7" max="7" width="11.453125" style="142"/>
    <col min="8" max="8" width="19.81640625" style="142" customWidth="1"/>
    <col min="9" max="9" width="15.26953125" style="142" bestFit="1" customWidth="1"/>
    <col min="10" max="16384" width="11.453125" style="142"/>
  </cols>
  <sheetData>
    <row r="3" spans="1:10" ht="15" thickBot="1" x14ac:dyDescent="0.4">
      <c r="D3" s="144"/>
      <c r="H3" s="144"/>
    </row>
    <row r="4" spans="1:10" x14ac:dyDescent="0.35">
      <c r="A4" s="507" t="s">
        <v>294</v>
      </c>
      <c r="B4" s="508"/>
      <c r="C4" s="508"/>
      <c r="D4" s="508"/>
      <c r="E4" s="508"/>
      <c r="F4" s="508"/>
      <c r="G4" s="508"/>
      <c r="H4" s="508"/>
      <c r="I4" s="508"/>
      <c r="J4" s="509"/>
    </row>
    <row r="5" spans="1:10" ht="15" thickBot="1" x14ac:dyDescent="0.4">
      <c r="A5" s="510"/>
      <c r="B5" s="511"/>
      <c r="C5" s="511"/>
      <c r="D5" s="511"/>
      <c r="E5" s="511"/>
      <c r="F5" s="511"/>
      <c r="G5" s="511"/>
      <c r="H5" s="511"/>
      <c r="I5" s="511"/>
      <c r="J5" s="512"/>
    </row>
    <row r="6" spans="1:10" x14ac:dyDescent="0.35">
      <c r="A6" s="248"/>
      <c r="E6" s="143"/>
      <c r="I6" s="143"/>
      <c r="J6" s="249"/>
    </row>
    <row r="7" spans="1:10" x14ac:dyDescent="0.35">
      <c r="A7" s="513" t="s">
        <v>319</v>
      </c>
      <c r="B7" s="514"/>
      <c r="C7" s="514"/>
      <c r="D7" s="514"/>
      <c r="E7" s="514"/>
      <c r="F7" s="514"/>
      <c r="G7" s="514"/>
      <c r="H7" s="514"/>
      <c r="I7" s="514"/>
      <c r="J7" s="515"/>
    </row>
    <row r="8" spans="1:10" x14ac:dyDescent="0.35">
      <c r="A8" s="248"/>
      <c r="E8" s="143"/>
      <c r="I8" s="143"/>
      <c r="J8" s="249"/>
    </row>
    <row r="9" spans="1:10" x14ac:dyDescent="0.35">
      <c r="A9" s="250" t="s">
        <v>295</v>
      </c>
      <c r="B9" s="142" t="s">
        <v>305</v>
      </c>
      <c r="E9" s="143"/>
      <c r="I9" s="143"/>
      <c r="J9" s="249"/>
    </row>
    <row r="10" spans="1:10" x14ac:dyDescent="0.35">
      <c r="A10" s="250"/>
      <c r="B10" s="142" t="s">
        <v>306</v>
      </c>
      <c r="D10" s="144"/>
      <c r="E10" s="145"/>
      <c r="I10" s="143"/>
      <c r="J10" s="249"/>
    </row>
    <row r="11" spans="1:10" x14ac:dyDescent="0.35">
      <c r="A11" s="250"/>
      <c r="B11" s="142" t="s">
        <v>307</v>
      </c>
      <c r="E11" s="143"/>
      <c r="I11" s="143"/>
      <c r="J11" s="249"/>
    </row>
    <row r="12" spans="1:10" x14ac:dyDescent="0.35">
      <c r="A12" s="250"/>
      <c r="B12" s="142" t="s">
        <v>308</v>
      </c>
      <c r="E12" s="143"/>
      <c r="I12" s="143"/>
      <c r="J12" s="249"/>
    </row>
    <row r="13" spans="1:10" x14ac:dyDescent="0.35">
      <c r="A13" s="250"/>
      <c r="B13" s="142" t="s">
        <v>309</v>
      </c>
      <c r="E13" s="143"/>
      <c r="H13" s="144"/>
      <c r="I13" s="145"/>
      <c r="J13" s="249"/>
    </row>
    <row r="14" spans="1:10" x14ac:dyDescent="0.35">
      <c r="A14" s="250"/>
      <c r="B14" s="142" t="s">
        <v>310</v>
      </c>
      <c r="C14" s="251"/>
      <c r="D14" s="142" t="s">
        <v>324</v>
      </c>
      <c r="E14" s="251">
        <v>5</v>
      </c>
      <c r="J14" s="249"/>
    </row>
    <row r="15" spans="1:10" x14ac:dyDescent="0.35">
      <c r="A15" s="250"/>
      <c r="C15" s="251"/>
      <c r="J15" s="249"/>
    </row>
    <row r="16" spans="1:10" x14ac:dyDescent="0.35">
      <c r="A16" s="250" t="s">
        <v>312</v>
      </c>
      <c r="B16" s="142" t="s">
        <v>311</v>
      </c>
      <c r="C16" s="251"/>
      <c r="H16" s="144"/>
      <c r="J16" s="249"/>
    </row>
    <row r="17" spans="1:10" x14ac:dyDescent="0.35">
      <c r="A17" s="250"/>
      <c r="B17" s="142" t="s">
        <v>313</v>
      </c>
      <c r="C17" s="251"/>
      <c r="J17" s="249"/>
    </row>
    <row r="18" spans="1:10" x14ac:dyDescent="0.35">
      <c r="A18" s="250"/>
      <c r="B18" s="142" t="s">
        <v>314</v>
      </c>
      <c r="C18" s="251"/>
      <c r="I18" s="143"/>
      <c r="J18" s="249"/>
    </row>
    <row r="19" spans="1:10" x14ac:dyDescent="0.35">
      <c r="A19" s="250"/>
      <c r="B19" s="143"/>
      <c r="C19" s="251"/>
      <c r="I19" s="143"/>
      <c r="J19" s="249"/>
    </row>
    <row r="20" spans="1:10" x14ac:dyDescent="0.35">
      <c r="A20" s="250" t="s">
        <v>315</v>
      </c>
      <c r="B20" s="142" t="s">
        <v>316</v>
      </c>
      <c r="C20" s="251"/>
      <c r="D20" s="142" t="s">
        <v>360</v>
      </c>
      <c r="E20" s="142" t="s">
        <v>361</v>
      </c>
      <c r="G20" s="142" t="s">
        <v>364</v>
      </c>
      <c r="I20" s="143"/>
      <c r="J20" s="249"/>
    </row>
    <row r="21" spans="1:10" x14ac:dyDescent="0.35">
      <c r="A21" s="250"/>
      <c r="B21" s="142" t="s">
        <v>317</v>
      </c>
      <c r="C21" s="251"/>
      <c r="G21" s="142" t="s">
        <v>363</v>
      </c>
      <c r="H21" s="251"/>
      <c r="I21" s="143"/>
      <c r="J21" s="249"/>
    </row>
    <row r="22" spans="1:10" x14ac:dyDescent="0.35">
      <c r="A22" s="250"/>
      <c r="B22" s="142" t="s">
        <v>318</v>
      </c>
      <c r="C22" s="251"/>
      <c r="I22" s="143"/>
      <c r="J22" s="249"/>
    </row>
    <row r="23" spans="1:10" x14ac:dyDescent="0.35">
      <c r="A23" s="250"/>
      <c r="C23" s="251"/>
      <c r="E23" s="142" t="s">
        <v>362</v>
      </c>
      <c r="G23" s="142" t="s">
        <v>364</v>
      </c>
      <c r="I23" s="143"/>
      <c r="J23" s="249"/>
    </row>
    <row r="24" spans="1:10" x14ac:dyDescent="0.35">
      <c r="A24" s="250" t="s">
        <v>323</v>
      </c>
      <c r="B24" s="142" t="s">
        <v>320</v>
      </c>
      <c r="C24" s="251"/>
      <c r="G24" s="142" t="s">
        <v>363</v>
      </c>
      <c r="I24" s="143"/>
      <c r="J24" s="249"/>
    </row>
    <row r="25" spans="1:10" x14ac:dyDescent="0.35">
      <c r="A25" s="250"/>
      <c r="B25" s="142" t="s">
        <v>322</v>
      </c>
      <c r="C25" s="251"/>
      <c r="I25" s="143"/>
      <c r="J25" s="249"/>
    </row>
    <row r="26" spans="1:10" x14ac:dyDescent="0.35">
      <c r="A26" s="250"/>
      <c r="B26" s="142" t="s">
        <v>321</v>
      </c>
      <c r="C26" s="251"/>
      <c r="H26" s="144"/>
      <c r="I26" s="145"/>
      <c r="J26" s="249"/>
    </row>
    <row r="27" spans="1:10" x14ac:dyDescent="0.35">
      <c r="A27" s="250"/>
      <c r="C27" s="251"/>
      <c r="J27" s="249"/>
    </row>
    <row r="28" spans="1:10" x14ac:dyDescent="0.35">
      <c r="A28" s="250" t="s">
        <v>328</v>
      </c>
      <c r="B28" s="142" t="s">
        <v>325</v>
      </c>
      <c r="C28" s="251"/>
      <c r="J28" s="249"/>
    </row>
    <row r="29" spans="1:10" x14ac:dyDescent="0.35">
      <c r="A29" s="250"/>
      <c r="B29" s="142" t="s">
        <v>327</v>
      </c>
      <c r="H29" s="144"/>
      <c r="J29" s="249"/>
    </row>
    <row r="30" spans="1:10" x14ac:dyDescent="0.35">
      <c r="A30" s="250"/>
      <c r="B30" s="142" t="s">
        <v>326</v>
      </c>
      <c r="J30" s="249"/>
    </row>
    <row r="31" spans="1:10" x14ac:dyDescent="0.35">
      <c r="A31" s="250"/>
      <c r="B31" s="143"/>
      <c r="I31" s="143"/>
      <c r="J31" s="249"/>
    </row>
    <row r="32" spans="1:10" x14ac:dyDescent="0.35">
      <c r="A32" s="250" t="s">
        <v>355</v>
      </c>
      <c r="B32" s="143" t="s">
        <v>356</v>
      </c>
      <c r="C32" s="251"/>
      <c r="D32" s="142" t="s">
        <v>357</v>
      </c>
      <c r="I32" s="143"/>
      <c r="J32" s="249"/>
    </row>
    <row r="33" spans="1:10" x14ac:dyDescent="0.35">
      <c r="A33" s="250"/>
      <c r="B33" s="143"/>
      <c r="I33" s="143"/>
      <c r="J33" s="249"/>
    </row>
    <row r="34" spans="1:10" x14ac:dyDescent="0.35">
      <c r="A34" s="250" t="s">
        <v>358</v>
      </c>
      <c r="B34" s="143"/>
      <c r="C34" s="251">
        <v>1</v>
      </c>
      <c r="I34" s="143"/>
      <c r="J34" s="249"/>
    </row>
    <row r="35" spans="1:10" x14ac:dyDescent="0.35">
      <c r="A35" s="250"/>
      <c r="B35" s="143"/>
      <c r="I35" s="143"/>
      <c r="J35" s="249"/>
    </row>
    <row r="36" spans="1:10" x14ac:dyDescent="0.35">
      <c r="A36" s="250"/>
      <c r="B36" s="143"/>
      <c r="I36" s="143"/>
      <c r="J36" s="249"/>
    </row>
    <row r="37" spans="1:10" x14ac:dyDescent="0.35">
      <c r="A37" s="250" t="s">
        <v>329</v>
      </c>
      <c r="B37" s="143" t="s">
        <v>367</v>
      </c>
      <c r="I37" s="143"/>
      <c r="J37" s="249"/>
    </row>
    <row r="38" spans="1:10" x14ac:dyDescent="0.35">
      <c r="A38" s="250" t="s">
        <v>330</v>
      </c>
      <c r="B38" s="143" t="s">
        <v>366</v>
      </c>
      <c r="I38" s="143"/>
      <c r="J38" s="249"/>
    </row>
    <row r="39" spans="1:10" x14ac:dyDescent="0.35">
      <c r="A39" s="250" t="s">
        <v>333</v>
      </c>
      <c r="B39" s="143" t="s">
        <v>368</v>
      </c>
      <c r="D39" s="144" t="s">
        <v>335</v>
      </c>
      <c r="E39" s="142" t="s">
        <v>369</v>
      </c>
      <c r="I39" s="143"/>
      <c r="J39" s="249"/>
    </row>
    <row r="40" spans="1:10" x14ac:dyDescent="0.35">
      <c r="A40" s="250" t="s">
        <v>334</v>
      </c>
      <c r="B40" s="143" t="s">
        <v>373</v>
      </c>
      <c r="I40" s="143"/>
      <c r="J40" s="249"/>
    </row>
    <row r="41" spans="1:10" x14ac:dyDescent="0.35">
      <c r="A41" s="250" t="s">
        <v>332</v>
      </c>
      <c r="B41" s="252">
        <v>6028359408</v>
      </c>
      <c r="I41" s="143"/>
      <c r="J41" s="249"/>
    </row>
    <row r="42" spans="1:10" x14ac:dyDescent="0.35">
      <c r="A42" s="250" t="s">
        <v>336</v>
      </c>
      <c r="B42" s="253" t="s">
        <v>374</v>
      </c>
      <c r="I42" s="143"/>
      <c r="J42" s="249"/>
    </row>
    <row r="43" spans="1:10" x14ac:dyDescent="0.35">
      <c r="A43" s="250" t="s">
        <v>342</v>
      </c>
      <c r="B43" s="143" t="s">
        <v>322</v>
      </c>
      <c r="I43" s="143"/>
      <c r="J43" s="249"/>
    </row>
    <row r="44" spans="1:10" x14ac:dyDescent="0.35">
      <c r="A44" s="250" t="s">
        <v>331</v>
      </c>
      <c r="B44" s="143"/>
      <c r="I44" s="143"/>
      <c r="J44" s="249"/>
    </row>
    <row r="45" spans="1:10" x14ac:dyDescent="0.35">
      <c r="A45" s="250" t="s">
        <v>337</v>
      </c>
      <c r="B45" s="143" t="s">
        <v>340</v>
      </c>
      <c r="C45" s="142" t="s">
        <v>375</v>
      </c>
      <c r="D45" s="142" t="s">
        <v>341</v>
      </c>
      <c r="E45" s="142" t="s">
        <v>376</v>
      </c>
      <c r="I45" s="143"/>
      <c r="J45" s="249"/>
    </row>
    <row r="46" spans="1:10" x14ac:dyDescent="0.35">
      <c r="A46" s="250" t="s">
        <v>338</v>
      </c>
      <c r="B46" s="143" t="s">
        <v>340</v>
      </c>
      <c r="C46" s="142" t="s">
        <v>377</v>
      </c>
      <c r="D46" s="142" t="s">
        <v>341</v>
      </c>
      <c r="E46" s="142" t="s">
        <v>378</v>
      </c>
      <c r="H46" s="144"/>
      <c r="I46" s="145"/>
      <c r="J46" s="249"/>
    </row>
    <row r="47" spans="1:10" ht="15" customHeight="1" x14ac:dyDescent="0.35">
      <c r="A47" s="250" t="s">
        <v>339</v>
      </c>
      <c r="B47" s="143" t="s">
        <v>340</v>
      </c>
      <c r="C47" s="142" t="s">
        <v>379</v>
      </c>
      <c r="D47" s="142" t="s">
        <v>341</v>
      </c>
      <c r="E47" s="516" t="s">
        <v>380</v>
      </c>
      <c r="F47" s="516"/>
      <c r="G47" s="516"/>
      <c r="H47" s="516"/>
      <c r="I47" s="516"/>
      <c r="J47" s="517"/>
    </row>
    <row r="48" spans="1:10" x14ac:dyDescent="0.35">
      <c r="A48" s="248"/>
      <c r="E48" s="516"/>
      <c r="F48" s="516"/>
      <c r="G48" s="516"/>
      <c r="H48" s="516"/>
      <c r="I48" s="516"/>
      <c r="J48" s="517"/>
    </row>
    <row r="49" spans="1:10" x14ac:dyDescent="0.35">
      <c r="A49" s="250" t="s">
        <v>343</v>
      </c>
      <c r="J49" s="249"/>
    </row>
    <row r="50" spans="1:10" x14ac:dyDescent="0.35">
      <c r="A50" s="503" t="s">
        <v>381</v>
      </c>
      <c r="B50" s="504"/>
      <c r="C50" s="504"/>
      <c r="D50" s="504"/>
      <c r="E50" s="504"/>
      <c r="F50" s="504"/>
      <c r="G50" s="504"/>
      <c r="H50" s="504"/>
      <c r="I50" s="504"/>
      <c r="J50" s="505"/>
    </row>
    <row r="51" spans="1:10" x14ac:dyDescent="0.35">
      <c r="A51" s="503"/>
      <c r="B51" s="504"/>
      <c r="C51" s="504"/>
      <c r="D51" s="504"/>
      <c r="E51" s="504"/>
      <c r="F51" s="504"/>
      <c r="G51" s="504"/>
      <c r="H51" s="504"/>
      <c r="I51" s="504"/>
      <c r="J51" s="505"/>
    </row>
    <row r="52" spans="1:10" x14ac:dyDescent="0.35">
      <c r="A52" s="503"/>
      <c r="B52" s="504"/>
      <c r="C52" s="504"/>
      <c r="D52" s="504"/>
      <c r="E52" s="504"/>
      <c r="F52" s="504"/>
      <c r="G52" s="504"/>
      <c r="H52" s="504"/>
      <c r="I52" s="504"/>
      <c r="J52" s="505"/>
    </row>
    <row r="53" spans="1:10" x14ac:dyDescent="0.35">
      <c r="A53" s="503"/>
      <c r="B53" s="504"/>
      <c r="C53" s="504"/>
      <c r="D53" s="504"/>
      <c r="E53" s="504"/>
      <c r="F53" s="504"/>
      <c r="G53" s="504"/>
      <c r="H53" s="504"/>
      <c r="I53" s="504"/>
      <c r="J53" s="505"/>
    </row>
    <row r="54" spans="1:10" x14ac:dyDescent="0.35">
      <c r="A54" s="503"/>
      <c r="B54" s="504"/>
      <c r="C54" s="504"/>
      <c r="D54" s="504"/>
      <c r="E54" s="504"/>
      <c r="F54" s="504"/>
      <c r="G54" s="504"/>
      <c r="H54" s="504"/>
      <c r="I54" s="504"/>
      <c r="J54" s="505"/>
    </row>
    <row r="55" spans="1:10" x14ac:dyDescent="0.35">
      <c r="A55" s="503"/>
      <c r="B55" s="504"/>
      <c r="C55" s="504"/>
      <c r="D55" s="504"/>
      <c r="E55" s="504"/>
      <c r="F55" s="504"/>
      <c r="G55" s="504"/>
      <c r="H55" s="504"/>
      <c r="I55" s="504"/>
      <c r="J55" s="505"/>
    </row>
    <row r="56" spans="1:10" x14ac:dyDescent="0.35">
      <c r="A56" s="254"/>
      <c r="B56" s="255"/>
      <c r="C56" s="255"/>
      <c r="D56" s="255"/>
      <c r="E56" s="255"/>
      <c r="F56" s="255"/>
      <c r="G56" s="255"/>
      <c r="H56" s="255"/>
      <c r="I56" s="255"/>
      <c r="J56" s="256"/>
    </row>
    <row r="57" spans="1:10" x14ac:dyDescent="0.35">
      <c r="A57" s="250"/>
      <c r="B57" s="144" t="s">
        <v>344</v>
      </c>
      <c r="J57" s="249"/>
    </row>
    <row r="58" spans="1:10" x14ac:dyDescent="0.35">
      <c r="A58" s="250"/>
      <c r="J58" s="249"/>
    </row>
    <row r="59" spans="1:10" x14ac:dyDescent="0.35">
      <c r="A59" s="250"/>
      <c r="J59" s="249"/>
    </row>
    <row r="60" spans="1:10" x14ac:dyDescent="0.35">
      <c r="A60" s="250" t="s">
        <v>345</v>
      </c>
      <c r="B60" s="257" t="s">
        <v>370</v>
      </c>
      <c r="C60" s="257" t="s">
        <v>371</v>
      </c>
      <c r="D60" s="257" t="s">
        <v>372</v>
      </c>
      <c r="J60" s="249"/>
    </row>
    <row r="61" spans="1:10" x14ac:dyDescent="0.35">
      <c r="A61" s="250" t="s">
        <v>346</v>
      </c>
      <c r="B61" s="258">
        <v>1000000</v>
      </c>
      <c r="C61" s="259">
        <v>1000</v>
      </c>
      <c r="D61" s="259">
        <v>1000</v>
      </c>
      <c r="J61" s="249"/>
    </row>
    <row r="62" spans="1:10" x14ac:dyDescent="0.35">
      <c r="A62" s="250" t="s">
        <v>347</v>
      </c>
      <c r="B62" s="258">
        <v>1000000</v>
      </c>
      <c r="C62" s="259">
        <v>1000</v>
      </c>
      <c r="D62" s="259">
        <v>1000</v>
      </c>
      <c r="J62" s="249"/>
    </row>
    <row r="63" spans="1:10" x14ac:dyDescent="0.35">
      <c r="A63" s="250" t="s">
        <v>348</v>
      </c>
      <c r="B63" s="258">
        <v>1000000</v>
      </c>
      <c r="C63" s="259">
        <v>1000</v>
      </c>
      <c r="D63" s="259">
        <v>1000</v>
      </c>
      <c r="J63" s="249"/>
    </row>
    <row r="64" spans="1:10" x14ac:dyDescent="0.35">
      <c r="A64" s="250"/>
      <c r="J64" s="249"/>
    </row>
    <row r="65" spans="1:10" x14ac:dyDescent="0.35">
      <c r="A65" s="250" t="s">
        <v>349</v>
      </c>
      <c r="J65" s="249"/>
    </row>
    <row r="66" spans="1:10" x14ac:dyDescent="0.35">
      <c r="A66" s="250"/>
      <c r="J66" s="249"/>
    </row>
    <row r="67" spans="1:10" x14ac:dyDescent="0.35">
      <c r="A67" s="250" t="s">
        <v>350</v>
      </c>
      <c r="B67" s="142" t="s">
        <v>382</v>
      </c>
      <c r="C67" s="142" t="s">
        <v>351</v>
      </c>
      <c r="D67" s="142" t="s">
        <v>383</v>
      </c>
      <c r="E67" s="142" t="s">
        <v>352</v>
      </c>
      <c r="F67" s="260">
        <v>1087199552</v>
      </c>
      <c r="J67" s="249"/>
    </row>
    <row r="68" spans="1:10" x14ac:dyDescent="0.35">
      <c r="A68" s="250"/>
      <c r="J68" s="249"/>
    </row>
    <row r="69" spans="1:10" x14ac:dyDescent="0.35">
      <c r="A69" s="250" t="s">
        <v>353</v>
      </c>
      <c r="J69" s="249"/>
    </row>
    <row r="70" spans="1:10" ht="15" customHeight="1" x14ac:dyDescent="0.35">
      <c r="A70" s="503" t="s">
        <v>384</v>
      </c>
      <c r="B70" s="504"/>
      <c r="C70" s="504"/>
      <c r="D70" s="504"/>
      <c r="E70" s="504"/>
      <c r="F70" s="504"/>
      <c r="G70" s="504"/>
      <c r="H70" s="504"/>
      <c r="I70" s="504"/>
      <c r="J70" s="505"/>
    </row>
    <row r="71" spans="1:10" x14ac:dyDescent="0.35">
      <c r="A71" s="503"/>
      <c r="B71" s="504"/>
      <c r="C71" s="504"/>
      <c r="D71" s="504"/>
      <c r="E71" s="504"/>
      <c r="F71" s="504"/>
      <c r="G71" s="504"/>
      <c r="H71" s="504"/>
      <c r="I71" s="504"/>
      <c r="J71" s="505"/>
    </row>
    <row r="72" spans="1:10" x14ac:dyDescent="0.35">
      <c r="A72" s="503"/>
      <c r="B72" s="504"/>
      <c r="C72" s="504"/>
      <c r="D72" s="504"/>
      <c r="E72" s="504"/>
      <c r="F72" s="504"/>
      <c r="G72" s="504"/>
      <c r="H72" s="504"/>
      <c r="I72" s="504"/>
      <c r="J72" s="505"/>
    </row>
    <row r="73" spans="1:10" x14ac:dyDescent="0.35">
      <c r="A73" s="503"/>
      <c r="B73" s="504"/>
      <c r="C73" s="504"/>
      <c r="D73" s="504"/>
      <c r="E73" s="504"/>
      <c r="F73" s="504"/>
      <c r="G73" s="504"/>
      <c r="H73" s="504"/>
      <c r="I73" s="504"/>
      <c r="J73" s="505"/>
    </row>
    <row r="74" spans="1:10" x14ac:dyDescent="0.35">
      <c r="A74" s="503"/>
      <c r="B74" s="504"/>
      <c r="C74" s="504"/>
      <c r="D74" s="504"/>
      <c r="E74" s="504"/>
      <c r="F74" s="504"/>
      <c r="G74" s="504"/>
      <c r="H74" s="504"/>
      <c r="I74" s="504"/>
      <c r="J74" s="505"/>
    </row>
    <row r="75" spans="1:10" x14ac:dyDescent="0.35">
      <c r="A75" s="503"/>
      <c r="B75" s="504"/>
      <c r="C75" s="504"/>
      <c r="D75" s="504"/>
      <c r="E75" s="504"/>
      <c r="F75" s="504"/>
      <c r="G75" s="504"/>
      <c r="H75" s="504"/>
      <c r="I75" s="504"/>
      <c r="J75" s="505"/>
    </row>
    <row r="76" spans="1:10" x14ac:dyDescent="0.35">
      <c r="A76" s="503"/>
      <c r="B76" s="504"/>
      <c r="C76" s="504"/>
      <c r="D76" s="504"/>
      <c r="E76" s="504"/>
      <c r="F76" s="504"/>
      <c r="G76" s="504"/>
      <c r="H76" s="504"/>
      <c r="I76" s="504"/>
      <c r="J76" s="505"/>
    </row>
    <row r="77" spans="1:10" x14ac:dyDescent="0.35">
      <c r="A77" s="503"/>
      <c r="B77" s="504"/>
      <c r="C77" s="504"/>
      <c r="D77" s="504"/>
      <c r="E77" s="504"/>
      <c r="F77" s="504"/>
      <c r="G77" s="504"/>
      <c r="H77" s="504"/>
      <c r="I77" s="504"/>
      <c r="J77" s="505"/>
    </row>
    <row r="78" spans="1:10" x14ac:dyDescent="0.35">
      <c r="A78" s="503"/>
      <c r="B78" s="504"/>
      <c r="C78" s="504"/>
      <c r="D78" s="504"/>
      <c r="E78" s="504"/>
      <c r="F78" s="504"/>
      <c r="G78" s="504"/>
      <c r="H78" s="504"/>
      <c r="I78" s="504"/>
      <c r="J78" s="505"/>
    </row>
    <row r="79" spans="1:10" x14ac:dyDescent="0.35">
      <c r="A79" s="503"/>
      <c r="B79" s="504"/>
      <c r="C79" s="504"/>
      <c r="D79" s="504"/>
      <c r="E79" s="504"/>
      <c r="F79" s="504"/>
      <c r="G79" s="504"/>
      <c r="H79" s="504"/>
      <c r="I79" s="504"/>
      <c r="J79" s="505"/>
    </row>
    <row r="80" spans="1:10" x14ac:dyDescent="0.35">
      <c r="A80" s="503"/>
      <c r="B80" s="504"/>
      <c r="C80" s="504"/>
      <c r="D80" s="504"/>
      <c r="E80" s="504"/>
      <c r="F80" s="504"/>
      <c r="G80" s="504"/>
      <c r="H80" s="504"/>
      <c r="I80" s="504"/>
      <c r="J80" s="505"/>
    </row>
    <row r="81" spans="1:10" x14ac:dyDescent="0.35">
      <c r="A81" s="503"/>
      <c r="B81" s="504"/>
      <c r="C81" s="504"/>
      <c r="D81" s="504"/>
      <c r="E81" s="504"/>
      <c r="F81" s="504"/>
      <c r="G81" s="504"/>
      <c r="H81" s="504"/>
      <c r="I81" s="504"/>
      <c r="J81" s="505"/>
    </row>
    <row r="82" spans="1:10" x14ac:dyDescent="0.35">
      <c r="A82" s="503"/>
      <c r="B82" s="504"/>
      <c r="C82" s="504"/>
      <c r="D82" s="504"/>
      <c r="E82" s="504"/>
      <c r="F82" s="504"/>
      <c r="G82" s="504"/>
      <c r="H82" s="504"/>
      <c r="I82" s="504"/>
      <c r="J82" s="505"/>
    </row>
    <row r="83" spans="1:10" x14ac:dyDescent="0.35">
      <c r="A83" s="503"/>
      <c r="B83" s="504"/>
      <c r="C83" s="504"/>
      <c r="D83" s="504"/>
      <c r="E83" s="504"/>
      <c r="F83" s="504"/>
      <c r="G83" s="504"/>
      <c r="H83" s="504"/>
      <c r="I83" s="504"/>
      <c r="J83" s="505"/>
    </row>
    <row r="84" spans="1:10" x14ac:dyDescent="0.35">
      <c r="A84" s="250" t="s">
        <v>354</v>
      </c>
      <c r="J84" s="249"/>
    </row>
    <row r="85" spans="1:10" x14ac:dyDescent="0.35">
      <c r="A85" s="501" t="s">
        <v>385</v>
      </c>
      <c r="B85" s="502"/>
      <c r="C85" s="502"/>
      <c r="D85" s="502"/>
      <c r="E85" s="502"/>
      <c r="F85" s="502"/>
      <c r="G85" s="502"/>
      <c r="H85" s="502"/>
      <c r="I85" s="502"/>
      <c r="J85" s="506"/>
    </row>
    <row r="86" spans="1:10" x14ac:dyDescent="0.35">
      <c r="A86" s="501"/>
      <c r="B86" s="502"/>
      <c r="C86" s="502"/>
      <c r="D86" s="502"/>
      <c r="E86" s="502"/>
      <c r="F86" s="502"/>
      <c r="G86" s="502"/>
      <c r="H86" s="502"/>
      <c r="I86" s="502"/>
      <c r="J86" s="506"/>
    </row>
    <row r="87" spans="1:10" x14ac:dyDescent="0.35">
      <c r="A87" s="501"/>
      <c r="B87" s="502"/>
      <c r="C87" s="502"/>
      <c r="D87" s="502"/>
      <c r="E87" s="502"/>
      <c r="F87" s="502"/>
      <c r="G87" s="502"/>
      <c r="H87" s="502"/>
      <c r="I87" s="502"/>
      <c r="J87" s="506"/>
    </row>
    <row r="88" spans="1:10" x14ac:dyDescent="0.35">
      <c r="A88" s="261"/>
      <c r="J88" s="249"/>
    </row>
    <row r="89" spans="1:10" x14ac:dyDescent="0.35">
      <c r="A89" s="250" t="s">
        <v>359</v>
      </c>
      <c r="J89" s="249"/>
    </row>
    <row r="90" spans="1:10" ht="15" customHeight="1" x14ac:dyDescent="0.35">
      <c r="A90" s="501" t="s">
        <v>386</v>
      </c>
      <c r="B90" s="502"/>
      <c r="C90" s="262"/>
      <c r="D90" s="262"/>
      <c r="E90" s="262"/>
      <c r="F90" s="262"/>
      <c r="G90" s="262"/>
      <c r="H90" s="262"/>
      <c r="I90" s="262"/>
      <c r="J90" s="263"/>
    </row>
    <row r="91" spans="1:10" x14ac:dyDescent="0.35">
      <c r="A91" s="501"/>
      <c r="B91" s="502"/>
      <c r="C91" s="262"/>
      <c r="D91" s="262"/>
      <c r="E91" s="262"/>
      <c r="F91" s="262"/>
      <c r="G91" s="262"/>
      <c r="H91" s="262"/>
      <c r="I91" s="262"/>
      <c r="J91" s="263"/>
    </row>
    <row r="92" spans="1:10" x14ac:dyDescent="0.35">
      <c r="A92" s="501"/>
      <c r="B92" s="502"/>
      <c r="C92" s="262"/>
      <c r="D92" s="262"/>
      <c r="E92" s="262"/>
      <c r="F92" s="262"/>
      <c r="G92" s="262"/>
      <c r="H92" s="262"/>
      <c r="I92" s="262"/>
      <c r="J92" s="263"/>
    </row>
    <row r="93" spans="1:10" x14ac:dyDescent="0.35">
      <c r="A93" s="501"/>
      <c r="B93" s="502"/>
      <c r="C93" s="262"/>
      <c r="D93" s="262"/>
      <c r="E93" s="262"/>
      <c r="F93" s="262"/>
      <c r="G93" s="262"/>
      <c r="H93" s="262"/>
      <c r="I93" s="262"/>
      <c r="J93" s="263"/>
    </row>
    <row r="94" spans="1:10" x14ac:dyDescent="0.35">
      <c r="A94" s="501"/>
      <c r="B94" s="502"/>
      <c r="J94" s="249"/>
    </row>
    <row r="95" spans="1:10" x14ac:dyDescent="0.35">
      <c r="A95" s="501"/>
      <c r="B95" s="502"/>
      <c r="J95" s="249"/>
    </row>
    <row r="96" spans="1:10" x14ac:dyDescent="0.35">
      <c r="A96" s="501"/>
      <c r="B96" s="502"/>
      <c r="J96" s="249"/>
    </row>
    <row r="97" spans="1:10" x14ac:dyDescent="0.35">
      <c r="A97" s="248"/>
      <c r="J97" s="249"/>
    </row>
    <row r="98" spans="1:10" x14ac:dyDescent="0.35">
      <c r="A98" s="250" t="s">
        <v>365</v>
      </c>
      <c r="B98" t="s">
        <v>387</v>
      </c>
      <c r="J98" s="249"/>
    </row>
    <row r="99" spans="1:10" ht="15" thickBot="1" x14ac:dyDescent="0.4">
      <c r="A99" s="264"/>
      <c r="B99" s="265"/>
      <c r="C99" s="265"/>
      <c r="D99" s="265"/>
      <c r="E99" s="265"/>
      <c r="F99" s="265"/>
      <c r="G99" s="265"/>
      <c r="H99" s="265"/>
      <c r="I99" s="265"/>
      <c r="J99" s="266"/>
    </row>
  </sheetData>
  <dataConsolidate link="1"/>
  <mergeCells count="7">
    <mergeCell ref="A90:B96"/>
    <mergeCell ref="A70:J83"/>
    <mergeCell ref="A85:J87"/>
    <mergeCell ref="A4:J5"/>
    <mergeCell ref="A7:J7"/>
    <mergeCell ref="E47:J48"/>
    <mergeCell ref="A50:J55"/>
  </mergeCells>
  <hyperlinks>
    <hyperlink ref="B42" r:id="rId1" xr:uid="{7B80E94A-497F-40B4-8512-86BD102DBFCF}"/>
  </hyperlinks>
  <pageMargins left="0.7" right="0.7" top="0.75" bottom="0.75" header="0.3" footer="0.3"/>
  <pageSetup paperSize="9" orientation="portrait" horizontalDpi="0" verticalDpi="0" r:id="rId2"/>
  <drawing r:id="rId3"/>
  <legacyDrawing r:id="rId4"/>
  <controls>
    <mc:AlternateContent xmlns:mc="http://schemas.openxmlformats.org/markup-compatibility/2006">
      <mc:Choice Requires="x14">
        <control shapeId="8199" r:id="rId5" name="ComboBox1">
          <controlPr defaultSize="0" autoLine="0" autoPict="0" r:id="rId6">
            <anchor moveWithCells="1">
              <from>
                <xdr:col>1</xdr:col>
                <xdr:colOff>0</xdr:colOff>
                <xdr:row>7</xdr:row>
                <xdr:rowOff>19050</xdr:rowOff>
              </from>
              <to>
                <xdr:col>1</xdr:col>
                <xdr:colOff>1231900</xdr:colOff>
                <xdr:row>8</xdr:row>
                <xdr:rowOff>0</xdr:rowOff>
              </to>
            </anchor>
          </controlPr>
        </control>
      </mc:Choice>
      <mc:Fallback>
        <control shapeId="8199" r:id="rId5" name="ComboBox1"/>
      </mc:Fallback>
    </mc:AlternateContent>
    <mc:AlternateContent xmlns:mc="http://schemas.openxmlformats.org/markup-compatibility/2006">
      <mc:Choice Requires="x14">
        <control shapeId="8200" r:id="rId7" name="Check Box 8">
          <controlPr defaultSize="0" autoFill="0" autoLine="0" autoPict="0">
            <anchor moveWithCells="1">
              <from>
                <xdr:col>2</xdr:col>
                <xdr:colOff>495300</xdr:colOff>
                <xdr:row>12</xdr:row>
                <xdr:rowOff>146050</xdr:rowOff>
              </from>
              <to>
                <xdr:col>2</xdr:col>
                <xdr:colOff>876300</xdr:colOff>
                <xdr:row>14</xdr:row>
                <xdr:rowOff>57150</xdr:rowOff>
              </to>
            </anchor>
          </controlPr>
        </control>
      </mc:Choice>
    </mc:AlternateContent>
    <mc:AlternateContent xmlns:mc="http://schemas.openxmlformats.org/markup-compatibility/2006">
      <mc:Choice Requires="x14">
        <control shapeId="8201" r:id="rId8" name="Check Box 9">
          <controlPr defaultSize="0" autoFill="0" autoLine="0" autoPict="0">
            <anchor moveWithCells="1">
              <from>
                <xdr:col>2</xdr:col>
                <xdr:colOff>476250</xdr:colOff>
                <xdr:row>14</xdr:row>
                <xdr:rowOff>133350</xdr:rowOff>
              </from>
              <to>
                <xdr:col>2</xdr:col>
                <xdr:colOff>857250</xdr:colOff>
                <xdr:row>16</xdr:row>
                <xdr:rowOff>50800</xdr:rowOff>
              </to>
            </anchor>
          </controlPr>
        </control>
      </mc:Choice>
    </mc:AlternateContent>
    <mc:AlternateContent xmlns:mc="http://schemas.openxmlformats.org/markup-compatibility/2006">
      <mc:Choice Requires="x14">
        <control shapeId="8203" r:id="rId9" name="Check Box 11">
          <controlPr defaultSize="0" autoFill="0" autoLine="0" autoPict="0">
            <anchor moveWithCells="1">
              <from>
                <xdr:col>2</xdr:col>
                <xdr:colOff>457200</xdr:colOff>
                <xdr:row>22</xdr:row>
                <xdr:rowOff>133350</xdr:rowOff>
              </from>
              <to>
                <xdr:col>2</xdr:col>
                <xdr:colOff>838200</xdr:colOff>
                <xdr:row>24</xdr:row>
                <xdr:rowOff>50800</xdr:rowOff>
              </to>
            </anchor>
          </controlPr>
        </control>
      </mc:Choice>
    </mc:AlternateContent>
    <mc:AlternateContent xmlns:mc="http://schemas.openxmlformats.org/markup-compatibility/2006">
      <mc:Choice Requires="x14">
        <control shapeId="8204" r:id="rId10" name="Check Box 12">
          <controlPr defaultSize="0" autoFill="0" autoLine="0" autoPict="0">
            <anchor moveWithCells="1">
              <from>
                <xdr:col>2</xdr:col>
                <xdr:colOff>457200</xdr:colOff>
                <xdr:row>24</xdr:row>
                <xdr:rowOff>152400</xdr:rowOff>
              </from>
              <to>
                <xdr:col>2</xdr:col>
                <xdr:colOff>838200</xdr:colOff>
                <xdr:row>26</xdr:row>
                <xdr:rowOff>69850</xdr:rowOff>
              </to>
            </anchor>
          </controlPr>
        </control>
      </mc:Choice>
    </mc:AlternateContent>
    <mc:AlternateContent xmlns:mc="http://schemas.openxmlformats.org/markup-compatibility/2006">
      <mc:Choice Requires="x14">
        <control shapeId="8205" r:id="rId11" name="Check Box 13">
          <controlPr defaultSize="0" autoFill="0" autoLine="0" autoPict="0">
            <anchor moveWithCells="1">
              <from>
                <xdr:col>2</xdr:col>
                <xdr:colOff>450850</xdr:colOff>
                <xdr:row>26</xdr:row>
                <xdr:rowOff>133350</xdr:rowOff>
              </from>
              <to>
                <xdr:col>2</xdr:col>
                <xdr:colOff>831850</xdr:colOff>
                <xdr:row>28</xdr:row>
                <xdr:rowOff>50800</xdr:rowOff>
              </to>
            </anchor>
          </controlPr>
        </control>
      </mc:Choice>
    </mc:AlternateContent>
    <mc:AlternateContent xmlns:mc="http://schemas.openxmlformats.org/markup-compatibility/2006">
      <mc:Choice Requires="x14">
        <control shapeId="8206" r:id="rId12" name="Check Box 14">
          <controlPr defaultSize="0" autoFill="0" autoLine="0" autoPict="0">
            <anchor moveWithCells="1">
              <from>
                <xdr:col>2</xdr:col>
                <xdr:colOff>457200</xdr:colOff>
                <xdr:row>30</xdr:row>
                <xdr:rowOff>133350</xdr:rowOff>
              </from>
              <to>
                <xdr:col>2</xdr:col>
                <xdr:colOff>838200</xdr:colOff>
                <xdr:row>32</xdr:row>
                <xdr:rowOff>50800</xdr:rowOff>
              </to>
            </anchor>
          </controlPr>
        </control>
      </mc:Choice>
    </mc:AlternateContent>
    <mc:AlternateContent xmlns:mc="http://schemas.openxmlformats.org/markup-compatibility/2006">
      <mc:Choice Requires="x14">
        <control shapeId="8207" r:id="rId13" name="Check Box 15">
          <controlPr defaultSize="0" autoFill="0" autoLine="0" autoPict="0">
            <anchor moveWithCells="1">
              <from>
                <xdr:col>2</xdr:col>
                <xdr:colOff>508000</xdr:colOff>
                <xdr:row>7</xdr:row>
                <xdr:rowOff>133350</xdr:rowOff>
              </from>
              <to>
                <xdr:col>2</xdr:col>
                <xdr:colOff>889000</xdr:colOff>
                <xdr:row>9</xdr:row>
                <xdr:rowOff>50800</xdr:rowOff>
              </to>
            </anchor>
          </controlPr>
        </control>
      </mc:Choice>
    </mc:AlternateContent>
    <mc:AlternateContent xmlns:mc="http://schemas.openxmlformats.org/markup-compatibility/2006">
      <mc:Choice Requires="x14">
        <control shapeId="8208" r:id="rId14" name="Check Box 16">
          <controlPr defaultSize="0" autoFill="0" autoLine="0" autoPict="0">
            <anchor moveWithCells="1">
              <from>
                <xdr:col>2</xdr:col>
                <xdr:colOff>508000</xdr:colOff>
                <xdr:row>8</xdr:row>
                <xdr:rowOff>127000</xdr:rowOff>
              </from>
              <to>
                <xdr:col>2</xdr:col>
                <xdr:colOff>889000</xdr:colOff>
                <xdr:row>10</xdr:row>
                <xdr:rowOff>38100</xdr:rowOff>
              </to>
            </anchor>
          </controlPr>
        </control>
      </mc:Choice>
    </mc:AlternateContent>
    <mc:AlternateContent xmlns:mc="http://schemas.openxmlformats.org/markup-compatibility/2006">
      <mc:Choice Requires="x14">
        <control shapeId="8209" r:id="rId15" name="Check Box 17">
          <controlPr defaultSize="0" autoFill="0" autoLine="0" autoPict="0">
            <anchor moveWithCells="1">
              <from>
                <xdr:col>2</xdr:col>
                <xdr:colOff>508000</xdr:colOff>
                <xdr:row>9</xdr:row>
                <xdr:rowOff>127000</xdr:rowOff>
              </from>
              <to>
                <xdr:col>2</xdr:col>
                <xdr:colOff>889000</xdr:colOff>
                <xdr:row>11</xdr:row>
                <xdr:rowOff>38100</xdr:rowOff>
              </to>
            </anchor>
          </controlPr>
        </control>
      </mc:Choice>
    </mc:AlternateContent>
    <mc:AlternateContent xmlns:mc="http://schemas.openxmlformats.org/markup-compatibility/2006">
      <mc:Choice Requires="x14">
        <control shapeId="8210" r:id="rId16" name="Check Box 18">
          <controlPr defaultSize="0" autoFill="0" autoLine="0" autoPict="0">
            <anchor moveWithCells="1">
              <from>
                <xdr:col>2</xdr:col>
                <xdr:colOff>508000</xdr:colOff>
                <xdr:row>10</xdr:row>
                <xdr:rowOff>133350</xdr:rowOff>
              </from>
              <to>
                <xdr:col>2</xdr:col>
                <xdr:colOff>889000</xdr:colOff>
                <xdr:row>12</xdr:row>
                <xdr:rowOff>50800</xdr:rowOff>
              </to>
            </anchor>
          </controlPr>
        </control>
      </mc:Choice>
    </mc:AlternateContent>
    <mc:AlternateContent xmlns:mc="http://schemas.openxmlformats.org/markup-compatibility/2006">
      <mc:Choice Requires="x14">
        <control shapeId="8211" r:id="rId17" name="Check Box 19">
          <controlPr defaultSize="0" autoFill="0" autoLine="0" autoPict="0">
            <anchor moveWithCells="1">
              <from>
                <xdr:col>2</xdr:col>
                <xdr:colOff>495300</xdr:colOff>
                <xdr:row>11</xdr:row>
                <xdr:rowOff>146050</xdr:rowOff>
              </from>
              <to>
                <xdr:col>2</xdr:col>
                <xdr:colOff>876300</xdr:colOff>
                <xdr:row>13</xdr:row>
                <xdr:rowOff>57150</xdr:rowOff>
              </to>
            </anchor>
          </controlPr>
        </control>
      </mc:Choice>
    </mc:AlternateContent>
    <mc:AlternateContent xmlns:mc="http://schemas.openxmlformats.org/markup-compatibility/2006">
      <mc:Choice Requires="x14">
        <control shapeId="8214" r:id="rId18" name="Check Box 22">
          <controlPr defaultSize="0" autoFill="0" autoLine="0" autoPict="0">
            <anchor moveWithCells="1">
              <from>
                <xdr:col>2</xdr:col>
                <xdr:colOff>476250</xdr:colOff>
                <xdr:row>18</xdr:row>
                <xdr:rowOff>127000</xdr:rowOff>
              </from>
              <to>
                <xdr:col>2</xdr:col>
                <xdr:colOff>857250</xdr:colOff>
                <xdr:row>20</xdr:row>
                <xdr:rowOff>38100</xdr:rowOff>
              </to>
            </anchor>
          </controlPr>
        </control>
      </mc:Choice>
    </mc:AlternateContent>
    <mc:AlternateContent xmlns:mc="http://schemas.openxmlformats.org/markup-compatibility/2006">
      <mc:Choice Requires="x14">
        <control shapeId="8215" r:id="rId19" name="Check Box 23">
          <controlPr defaultSize="0" autoFill="0" autoLine="0" autoPict="0">
            <anchor moveWithCells="1">
              <from>
                <xdr:col>7</xdr:col>
                <xdr:colOff>527050</xdr:colOff>
                <xdr:row>19</xdr:row>
                <xdr:rowOff>146050</xdr:rowOff>
              </from>
              <to>
                <xdr:col>7</xdr:col>
                <xdr:colOff>908050</xdr:colOff>
                <xdr:row>21</xdr:row>
                <xdr:rowOff>57150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6B48-7F75-470E-A3F7-EBD09E77DF93}">
  <sheetPr codeName="Hoja12">
    <tabColor rgb="FF00EC54"/>
  </sheetPr>
  <dimension ref="B3:L46"/>
  <sheetViews>
    <sheetView topLeftCell="A24" zoomScale="80" zoomScaleNormal="80" workbookViewId="0">
      <selection activeCell="J34" sqref="J34"/>
    </sheetView>
  </sheetViews>
  <sheetFormatPr baseColWidth="10" defaultColWidth="11.453125" defaultRowHeight="14.5" x14ac:dyDescent="0.35"/>
  <cols>
    <col min="1" max="2" width="5.1796875" style="142" customWidth="1"/>
    <col min="3" max="3" width="20.7265625" style="142" bestFit="1" customWidth="1"/>
    <col min="4" max="4" width="15.26953125" style="142" bestFit="1" customWidth="1"/>
    <col min="5" max="5" width="11.453125" style="142"/>
    <col min="6" max="6" width="31" style="142" bestFit="1" customWidth="1"/>
    <col min="7" max="7" width="15.26953125" style="142" bestFit="1" customWidth="1"/>
    <col min="8" max="9" width="11.453125" style="142"/>
    <col min="10" max="10" width="19.81640625" style="142" customWidth="1"/>
    <col min="11" max="11" width="15.26953125" style="142" bestFit="1" customWidth="1"/>
    <col min="12" max="16384" width="11.453125" style="142"/>
  </cols>
  <sheetData>
    <row r="3" spans="3:12" ht="15.75" customHeight="1" thickBot="1" x14ac:dyDescent="0.4">
      <c r="F3" s="144"/>
      <c r="J3" s="144"/>
    </row>
    <row r="4" spans="3:12" x14ac:dyDescent="0.35">
      <c r="C4" s="310" t="s">
        <v>297</v>
      </c>
      <c r="D4" s="311"/>
      <c r="E4" s="311"/>
      <c r="F4" s="311"/>
      <c r="G4" s="311"/>
      <c r="H4" s="311"/>
      <c r="I4" s="311"/>
      <c r="J4" s="311"/>
      <c r="K4" s="311"/>
      <c r="L4" s="312"/>
    </row>
    <row r="5" spans="3:12" ht="15" thickBot="1" x14ac:dyDescent="0.4">
      <c r="C5" s="313"/>
      <c r="D5" s="314"/>
      <c r="E5" s="314"/>
      <c r="F5" s="314"/>
      <c r="G5" s="314"/>
      <c r="H5" s="314"/>
      <c r="I5" s="314"/>
      <c r="J5" s="314"/>
      <c r="K5" s="314"/>
      <c r="L5" s="315"/>
    </row>
    <row r="6" spans="3:12" ht="15" customHeight="1" x14ac:dyDescent="0.35">
      <c r="C6" s="307" t="s">
        <v>303</v>
      </c>
      <c r="D6" s="307"/>
      <c r="E6" s="307"/>
      <c r="F6" s="307"/>
      <c r="G6" s="307"/>
      <c r="H6" s="307"/>
      <c r="I6" s="307"/>
      <c r="J6" s="307"/>
      <c r="K6" s="307"/>
      <c r="L6" s="307"/>
    </row>
    <row r="7" spans="3:12" x14ac:dyDescent="0.35">
      <c r="G7" s="143"/>
      <c r="K7" s="143"/>
    </row>
    <row r="8" spans="3:12" x14ac:dyDescent="0.35">
      <c r="G8" s="143"/>
      <c r="K8" s="143"/>
    </row>
    <row r="9" spans="3:12" ht="15" customHeight="1" x14ac:dyDescent="0.35">
      <c r="G9" s="143"/>
      <c r="K9" s="143"/>
    </row>
    <row r="10" spans="3:12" ht="15" customHeight="1" x14ac:dyDescent="0.35">
      <c r="F10" s="144"/>
      <c r="G10" s="145"/>
      <c r="K10" s="143"/>
    </row>
    <row r="11" spans="3:12" x14ac:dyDescent="0.35">
      <c r="G11" s="143"/>
      <c r="K11" s="143"/>
    </row>
    <row r="12" spans="3:12" x14ac:dyDescent="0.35">
      <c r="G12" s="143"/>
      <c r="K12" s="143"/>
    </row>
    <row r="13" spans="3:12" x14ac:dyDescent="0.35">
      <c r="G13" s="143"/>
      <c r="J13" s="144"/>
      <c r="K13" s="145"/>
    </row>
    <row r="16" spans="3:12" x14ac:dyDescent="0.35">
      <c r="C16" s="144"/>
      <c r="J16" s="144"/>
    </row>
    <row r="18" spans="2:11" x14ac:dyDescent="0.35">
      <c r="D18" s="143"/>
      <c r="K18" s="143"/>
    </row>
    <row r="19" spans="2:11" x14ac:dyDescent="0.35">
      <c r="D19" s="143"/>
      <c r="K19" s="143"/>
    </row>
    <row r="20" spans="2:11" x14ac:dyDescent="0.35">
      <c r="D20" s="143"/>
      <c r="K20" s="143"/>
    </row>
    <row r="21" spans="2:11" x14ac:dyDescent="0.35">
      <c r="D21" s="143"/>
      <c r="K21" s="143"/>
    </row>
    <row r="22" spans="2:11" x14ac:dyDescent="0.35">
      <c r="D22" s="143"/>
      <c r="K22" s="143"/>
    </row>
    <row r="23" spans="2:11" x14ac:dyDescent="0.35">
      <c r="D23" s="143"/>
      <c r="K23" s="143"/>
    </row>
    <row r="24" spans="2:11" x14ac:dyDescent="0.35">
      <c r="D24" s="143"/>
      <c r="K24" s="143"/>
    </row>
    <row r="25" spans="2:11" x14ac:dyDescent="0.35">
      <c r="D25" s="143"/>
      <c r="K25" s="143"/>
    </row>
    <row r="26" spans="2:11" x14ac:dyDescent="0.35">
      <c r="C26" s="144"/>
      <c r="D26" s="145"/>
      <c r="J26" s="144"/>
      <c r="K26" s="145"/>
    </row>
    <row r="29" spans="2:11" x14ac:dyDescent="0.35">
      <c r="C29" s="144"/>
      <c r="J29" s="144"/>
    </row>
    <row r="31" spans="2:11" ht="15" thickBot="1" x14ac:dyDescent="0.4"/>
    <row r="32" spans="2:11" x14ac:dyDescent="0.35">
      <c r="B32" s="246"/>
      <c r="C32" s="308" t="s">
        <v>304</v>
      </c>
      <c r="D32" s="308"/>
      <c r="E32" s="308"/>
      <c r="F32" s="308"/>
      <c r="G32" s="308"/>
      <c r="H32" s="309"/>
      <c r="K32" s="143"/>
    </row>
    <row r="33" spans="2:11" x14ac:dyDescent="0.35">
      <c r="B33" s="238"/>
      <c r="C33" s="240"/>
      <c r="D33" s="239"/>
      <c r="E33" s="240"/>
      <c r="F33" s="240"/>
      <c r="G33" s="240"/>
      <c r="H33" s="241"/>
      <c r="K33" s="143"/>
    </row>
    <row r="34" spans="2:11" ht="15" customHeight="1" x14ac:dyDescent="0.35">
      <c r="B34" s="238"/>
      <c r="C34" s="305" t="s">
        <v>298</v>
      </c>
      <c r="D34" s="305"/>
      <c r="E34" s="240"/>
      <c r="F34" s="305" t="s">
        <v>301</v>
      </c>
      <c r="G34" s="305"/>
      <c r="H34" s="241"/>
      <c r="K34" s="143"/>
    </row>
    <row r="35" spans="2:11" x14ac:dyDescent="0.35">
      <c r="B35" s="238"/>
      <c r="C35" s="305"/>
      <c r="D35" s="305"/>
      <c r="E35" s="240"/>
      <c r="F35" s="305"/>
      <c r="G35" s="305"/>
      <c r="H35" s="241"/>
      <c r="K35" s="143"/>
    </row>
    <row r="36" spans="2:11" x14ac:dyDescent="0.35">
      <c r="B36" s="238"/>
      <c r="C36" s="305"/>
      <c r="D36" s="305"/>
      <c r="E36" s="240"/>
      <c r="F36" s="305"/>
      <c r="G36" s="305"/>
      <c r="H36" s="241"/>
      <c r="K36" s="143"/>
    </row>
    <row r="37" spans="2:11" ht="15" customHeight="1" x14ac:dyDescent="0.35">
      <c r="B37" s="238"/>
      <c r="C37" s="305" t="s">
        <v>299</v>
      </c>
      <c r="D37" s="305"/>
      <c r="E37" s="240"/>
      <c r="F37" s="305"/>
      <c r="G37" s="305"/>
      <c r="H37" s="241"/>
      <c r="K37" s="143"/>
    </row>
    <row r="38" spans="2:11" x14ac:dyDescent="0.35">
      <c r="B38" s="238"/>
      <c r="C38" s="305"/>
      <c r="D38" s="305"/>
      <c r="E38" s="240"/>
      <c r="F38" s="305"/>
      <c r="G38" s="305"/>
      <c r="H38" s="241"/>
      <c r="K38" s="143"/>
    </row>
    <row r="39" spans="2:11" x14ac:dyDescent="0.35">
      <c r="B39" s="238"/>
      <c r="C39" s="305"/>
      <c r="D39" s="305"/>
      <c r="E39" s="240"/>
      <c r="F39" s="305"/>
      <c r="G39" s="305"/>
      <c r="H39" s="241"/>
      <c r="K39" s="143"/>
    </row>
    <row r="40" spans="2:11" ht="15" customHeight="1" x14ac:dyDescent="0.35">
      <c r="B40" s="238"/>
      <c r="C40" s="305"/>
      <c r="D40" s="305"/>
      <c r="E40" s="240"/>
      <c r="F40" s="306" t="s">
        <v>302</v>
      </c>
      <c r="G40" s="306"/>
      <c r="H40" s="241"/>
      <c r="J40" s="144"/>
      <c r="K40" s="145"/>
    </row>
    <row r="41" spans="2:11" ht="15" customHeight="1" x14ac:dyDescent="0.35">
      <c r="B41" s="238"/>
      <c r="C41" s="305" t="s">
        <v>300</v>
      </c>
      <c r="D41" s="305"/>
      <c r="E41" s="240"/>
      <c r="F41" s="306"/>
      <c r="G41" s="306"/>
      <c r="H41" s="241"/>
    </row>
    <row r="42" spans="2:11" ht="15" customHeight="1" x14ac:dyDescent="0.35">
      <c r="B42" s="238"/>
      <c r="C42" s="305"/>
      <c r="D42" s="305"/>
      <c r="E42" s="240"/>
      <c r="F42" s="306"/>
      <c r="G42" s="306"/>
      <c r="H42" s="241"/>
    </row>
    <row r="43" spans="2:11" x14ac:dyDescent="0.35">
      <c r="B43" s="238"/>
      <c r="C43" s="305"/>
      <c r="D43" s="305"/>
      <c r="E43" s="240"/>
      <c r="F43" s="306"/>
      <c r="G43" s="306"/>
      <c r="H43" s="241"/>
    </row>
    <row r="44" spans="2:11" x14ac:dyDescent="0.35">
      <c r="B44" s="238"/>
      <c r="C44" s="305"/>
      <c r="D44" s="305"/>
      <c r="E44" s="240"/>
      <c r="F44" s="242"/>
      <c r="G44" s="240"/>
      <c r="H44" s="241"/>
    </row>
    <row r="45" spans="2:11" x14ac:dyDescent="0.35">
      <c r="B45" s="238"/>
      <c r="C45" s="305"/>
      <c r="D45" s="305"/>
      <c r="E45" s="240"/>
      <c r="F45" s="242"/>
      <c r="G45" s="240"/>
      <c r="H45" s="241"/>
    </row>
    <row r="46" spans="2:11" ht="15" thickBot="1" x14ac:dyDescent="0.4">
      <c r="B46" s="247"/>
      <c r="C46" s="316"/>
      <c r="D46" s="316"/>
      <c r="E46" s="243"/>
      <c r="F46" s="244"/>
      <c r="G46" s="243"/>
      <c r="H46" s="245"/>
    </row>
  </sheetData>
  <dataConsolidate link="1"/>
  <mergeCells count="8">
    <mergeCell ref="F34:G39"/>
    <mergeCell ref="F40:G43"/>
    <mergeCell ref="C6:L6"/>
    <mergeCell ref="C32:H32"/>
    <mergeCell ref="C4:L5"/>
    <mergeCell ref="C34:D36"/>
    <mergeCell ref="C37:D40"/>
    <mergeCell ref="C41:D46"/>
  </mergeCell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Base</vt:lpstr>
      <vt:lpstr>Proyección FCL</vt:lpstr>
      <vt:lpstr>Proyección P&amp;G</vt:lpstr>
      <vt:lpstr>Proyección Balance Apertura</vt:lpstr>
      <vt:lpstr>Resultados</vt:lpstr>
      <vt:lpstr>Matriz de Riesgo</vt:lpstr>
      <vt:lpstr>Mercado</vt:lpstr>
      <vt:lpstr>Criterios</vt:lpstr>
      <vt:lpstr>Matriz</vt:lpstr>
      <vt:lpstr>Ambiental</vt:lpstr>
      <vt:lpstr>Gráficas</vt:lpstr>
      <vt:lpstr>Estudio Legal</vt:lpstr>
      <vt:lpstr>Estudio Tecnico</vt:lpstr>
      <vt:lpstr>'Estudio Tecnico'!Tipo_de_sociedad</vt:lpstr>
    </vt:vector>
  </TitlesOfParts>
  <Manager>carlosariel.naranjo@cidet.org.co</Manager>
  <Company>CIDET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Modelo de Evaluación Financiera</dc:title>
  <dc:subject>Premio FISE a la Innovación 2019</dc:subject>
  <dc:creator>JORGE EDUARDO OROZCO ALVAREZ</dc:creator>
  <cp:lastModifiedBy>JORGE EDUARDO OROZCO ALVAREZ</cp:lastModifiedBy>
  <cp:lastPrinted>2019-05-29T15:31:01Z</cp:lastPrinted>
  <dcterms:created xsi:type="dcterms:W3CDTF">2018-06-25T20:00:59Z</dcterms:created>
  <dcterms:modified xsi:type="dcterms:W3CDTF">2026-10-15T18:50:31Z</dcterms:modified>
</cp:coreProperties>
</file>